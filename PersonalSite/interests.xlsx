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593f9d23d0a4eec/Documentos/byui/wdd130/PersonalSite/"/>
    </mc:Choice>
  </mc:AlternateContent>
  <xr:revisionPtr revIDLastSave="0" documentId="8_{B56EE640-1E04-4B40-8D47-0EF9B0670A5F}" xr6:coauthVersionLast="47" xr6:coauthVersionMax="47" xr10:uidLastSave="{00000000-0000-0000-0000-000000000000}"/>
  <bookViews>
    <workbookView xWindow="-120" yWindow="-120" windowWidth="24240" windowHeight="13140" activeTab="1" xr2:uid="{3056AC2B-5339-4FA7-BBF2-6A4B2FDBA0A7}"/>
  </bookViews>
  <sheets>
    <sheet name="Credit" sheetId="1" r:id="rId1"/>
    <sheet name="Saving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N4" i="3"/>
  <c r="N2" i="3"/>
  <c r="Q32" i="3"/>
  <c r="N32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8" i="3"/>
  <c r="D8" i="3"/>
  <c r="F8" i="3" s="1"/>
  <c r="C9" i="3" s="1"/>
  <c r="D9" i="3" s="1"/>
  <c r="C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C5" i="3"/>
  <c r="B9" i="3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N8" i="3" s="1"/>
  <c r="N9" i="3" s="1"/>
  <c r="N10" i="3" s="1"/>
  <c r="N11" i="3" s="1"/>
  <c r="N12" i="3" s="1"/>
  <c r="N13" i="3" s="1"/>
  <c r="N14" i="3" s="1"/>
  <c r="N15" i="3" s="1"/>
  <c r="N16" i="3" s="1"/>
  <c r="N17" i="3" s="1"/>
  <c r="N18" i="3" s="1"/>
  <c r="N19" i="3" s="1"/>
  <c r="N20" i="3" s="1"/>
  <c r="N21" i="3" s="1"/>
  <c r="N22" i="3" s="1"/>
  <c r="N23" i="3" s="1"/>
  <c r="N24" i="3" s="1"/>
  <c r="N25" i="3" s="1"/>
  <c r="N26" i="3" s="1"/>
  <c r="N27" i="3" s="1"/>
  <c r="N28" i="3" s="1"/>
  <c r="N29" i="3" s="1"/>
  <c r="N30" i="3" s="1"/>
  <c r="N31" i="3" s="1"/>
  <c r="K3" i="1"/>
  <c r="J3" i="1"/>
  <c r="C8" i="1"/>
  <c r="B9" i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C5" i="1"/>
  <c r="K29" i="1" s="1"/>
  <c r="J2" i="1" l="1"/>
  <c r="J4" i="1" s="1"/>
  <c r="K4" i="1" s="1"/>
  <c r="Q26" i="1"/>
  <c r="Q18" i="1"/>
  <c r="Q10" i="1"/>
  <c r="K26" i="1"/>
  <c r="K18" i="1"/>
  <c r="K10" i="1"/>
  <c r="E26" i="1"/>
  <c r="E18" i="1"/>
  <c r="E10" i="1"/>
  <c r="Q21" i="1"/>
  <c r="K21" i="1"/>
  <c r="E29" i="1"/>
  <c r="Q12" i="1"/>
  <c r="K20" i="1"/>
  <c r="E28" i="1"/>
  <c r="E12" i="1"/>
  <c r="Q27" i="1"/>
  <c r="Q19" i="1"/>
  <c r="K27" i="1"/>
  <c r="K11" i="1"/>
  <c r="E11" i="1"/>
  <c r="E8" i="1"/>
  <c r="D8" i="1" s="1"/>
  <c r="F8" i="1" s="1"/>
  <c r="Q25" i="1"/>
  <c r="Q17" i="1"/>
  <c r="Q9" i="1"/>
  <c r="K25" i="1"/>
  <c r="K17" i="1"/>
  <c r="K9" i="1"/>
  <c r="E25" i="1"/>
  <c r="E17" i="1"/>
  <c r="E9" i="1"/>
  <c r="Q24" i="1"/>
  <c r="Q16" i="1"/>
  <c r="Q8" i="1"/>
  <c r="K24" i="1"/>
  <c r="K16" i="1"/>
  <c r="K8" i="1"/>
  <c r="E24" i="1"/>
  <c r="E16" i="1"/>
  <c r="E27" i="1"/>
  <c r="Q29" i="1"/>
  <c r="Q13" i="1"/>
  <c r="K13" i="1"/>
  <c r="E21" i="1"/>
  <c r="E13" i="1"/>
  <c r="Q28" i="1"/>
  <c r="Q20" i="1"/>
  <c r="K28" i="1"/>
  <c r="K12" i="1"/>
  <c r="E20" i="1"/>
  <c r="Q11" i="1"/>
  <c r="K19" i="1"/>
  <c r="E19" i="1"/>
  <c r="Q31" i="1"/>
  <c r="Q23" i="1"/>
  <c r="Q15" i="1"/>
  <c r="K31" i="1"/>
  <c r="K23" i="1"/>
  <c r="K15" i="1"/>
  <c r="E31" i="1"/>
  <c r="E23" i="1"/>
  <c r="E15" i="1"/>
  <c r="Q30" i="1"/>
  <c r="Q22" i="1"/>
  <c r="Q14" i="1"/>
  <c r="K30" i="1"/>
  <c r="K22" i="1"/>
  <c r="K14" i="1"/>
  <c r="E30" i="1"/>
  <c r="E22" i="1"/>
  <c r="E14" i="1"/>
  <c r="F9" i="3" l="1"/>
  <c r="C10" i="3" s="1"/>
  <c r="D10" i="3" s="1"/>
  <c r="F10" i="3" s="1"/>
  <c r="C9" i="1"/>
  <c r="D9" i="1" s="1"/>
  <c r="F9" i="1" s="1"/>
  <c r="C11" i="3" l="1"/>
  <c r="D11" i="3" s="1"/>
  <c r="F11" i="3" s="1"/>
  <c r="C10" i="1"/>
  <c r="D10" i="1" s="1"/>
  <c r="F10" i="1" s="1"/>
  <c r="C12" i="3" l="1"/>
  <c r="D12" i="3" s="1"/>
  <c r="F12" i="3" s="1"/>
  <c r="C11" i="1"/>
  <c r="D11" i="1" s="1"/>
  <c r="F11" i="1" s="1"/>
  <c r="C13" i="3" l="1"/>
  <c r="D13" i="3" s="1"/>
  <c r="F13" i="3" s="1"/>
  <c r="C12" i="1"/>
  <c r="D12" i="1" s="1"/>
  <c r="F12" i="1" s="1"/>
  <c r="C13" i="1" s="1"/>
  <c r="D13" i="1" s="1"/>
  <c r="C14" i="3" l="1"/>
  <c r="D14" i="3" s="1"/>
  <c r="F14" i="3" s="1"/>
  <c r="F13" i="1"/>
  <c r="C14" i="1" s="1"/>
  <c r="D14" i="1" s="1"/>
  <c r="C15" i="3" l="1"/>
  <c r="D15" i="3" s="1"/>
  <c r="F15" i="3" s="1"/>
  <c r="F14" i="1"/>
  <c r="C15" i="1" s="1"/>
  <c r="D15" i="1" s="1"/>
  <c r="C16" i="3" l="1"/>
  <c r="D16" i="3" s="1"/>
  <c r="F16" i="3" s="1"/>
  <c r="F15" i="1"/>
  <c r="C17" i="3" l="1"/>
  <c r="D17" i="3" s="1"/>
  <c r="F17" i="3" s="1"/>
  <c r="C16" i="1"/>
  <c r="D16" i="1" s="1"/>
  <c r="C18" i="3" l="1"/>
  <c r="D18" i="3" s="1"/>
  <c r="F18" i="3" s="1"/>
  <c r="F16" i="1"/>
  <c r="C19" i="3" l="1"/>
  <c r="D19" i="3" s="1"/>
  <c r="F19" i="3" s="1"/>
  <c r="C17" i="1"/>
  <c r="D17" i="1" s="1"/>
  <c r="C20" i="3" l="1"/>
  <c r="D20" i="3" s="1"/>
  <c r="F20" i="3" s="1"/>
  <c r="F17" i="1"/>
  <c r="C18" i="1" s="1"/>
  <c r="D18" i="1" s="1"/>
  <c r="C21" i="3" l="1"/>
  <c r="D21" i="3" s="1"/>
  <c r="F21" i="3" s="1"/>
  <c r="F18" i="1"/>
  <c r="C22" i="3" l="1"/>
  <c r="D22" i="3" s="1"/>
  <c r="F22" i="3" s="1"/>
  <c r="C19" i="1"/>
  <c r="D19" i="1" s="1"/>
  <c r="F19" i="1" s="1"/>
  <c r="C23" i="3" l="1"/>
  <c r="D23" i="3" s="1"/>
  <c r="F23" i="3" s="1"/>
  <c r="C20" i="1"/>
  <c r="D20" i="1" s="1"/>
  <c r="F20" i="1" s="1"/>
  <c r="C24" i="3" l="1"/>
  <c r="D24" i="3" s="1"/>
  <c r="F24" i="3" s="1"/>
  <c r="C21" i="1"/>
  <c r="D21" i="1" s="1"/>
  <c r="F21" i="1" s="1"/>
  <c r="C25" i="3" l="1"/>
  <c r="D25" i="3" s="1"/>
  <c r="F25" i="3" s="1"/>
  <c r="C22" i="1"/>
  <c r="D22" i="1" s="1"/>
  <c r="C26" i="3" l="1"/>
  <c r="D26" i="3" s="1"/>
  <c r="F26" i="3" s="1"/>
  <c r="F22" i="1"/>
  <c r="C23" i="1" s="1"/>
  <c r="D23" i="1" s="1"/>
  <c r="C27" i="3" l="1"/>
  <c r="D27" i="3" s="1"/>
  <c r="F27" i="3" s="1"/>
  <c r="F23" i="1"/>
  <c r="C24" i="1" s="1"/>
  <c r="D24" i="1" s="1"/>
  <c r="C28" i="3" l="1"/>
  <c r="D28" i="3" s="1"/>
  <c r="F28" i="3" s="1"/>
  <c r="F24" i="1"/>
  <c r="C29" i="3" l="1"/>
  <c r="D29" i="3" s="1"/>
  <c r="F29" i="3" s="1"/>
  <c r="C25" i="1"/>
  <c r="D25" i="1" s="1"/>
  <c r="C30" i="3" l="1"/>
  <c r="D30" i="3" s="1"/>
  <c r="F30" i="3" s="1"/>
  <c r="F25" i="1"/>
  <c r="C31" i="3" l="1"/>
  <c r="D31" i="3" s="1"/>
  <c r="F31" i="3" s="1"/>
  <c r="I8" i="3" s="1"/>
  <c r="J8" i="3" s="1"/>
  <c r="L8" i="3" s="1"/>
  <c r="I9" i="3" s="1"/>
  <c r="J9" i="3" s="1"/>
  <c r="L9" i="3" s="1"/>
  <c r="C26" i="1"/>
  <c r="D26" i="1" s="1"/>
  <c r="F26" i="1" l="1"/>
  <c r="C27" i="1" l="1"/>
  <c r="D27" i="1" s="1"/>
  <c r="I10" i="3" l="1"/>
  <c r="J10" i="3" s="1"/>
  <c r="F27" i="1"/>
  <c r="L10" i="3" l="1"/>
  <c r="I11" i="3" s="1"/>
  <c r="J11" i="3" s="1"/>
  <c r="C28" i="1"/>
  <c r="D28" i="1" s="1"/>
  <c r="L11" i="3" l="1"/>
  <c r="I12" i="3" s="1"/>
  <c r="J12" i="3" s="1"/>
  <c r="F28" i="1"/>
  <c r="L12" i="3" l="1"/>
  <c r="I13" i="3" s="1"/>
  <c r="J13" i="3" s="1"/>
  <c r="L13" i="3" s="1"/>
  <c r="I14" i="3" s="1"/>
  <c r="C29" i="1"/>
  <c r="D29" i="1" s="1"/>
  <c r="J14" i="3" l="1"/>
  <c r="F29" i="1"/>
  <c r="L14" i="3" l="1"/>
  <c r="I15" i="3" s="1"/>
  <c r="J15" i="3" s="1"/>
  <c r="C30" i="1"/>
  <c r="D30" i="1" s="1"/>
  <c r="L15" i="3" l="1"/>
  <c r="I16" i="3" s="1"/>
  <c r="J16" i="3" s="1"/>
  <c r="F30" i="1"/>
  <c r="C31" i="1" s="1"/>
  <c r="D31" i="1" s="1"/>
  <c r="L16" i="3" l="1"/>
  <c r="F31" i="1"/>
  <c r="I17" i="3" l="1"/>
  <c r="J17" i="3" s="1"/>
  <c r="L17" i="3"/>
  <c r="I18" i="3" s="1"/>
  <c r="J18" i="3" s="1"/>
  <c r="I8" i="1"/>
  <c r="J8" i="1" s="1"/>
  <c r="L18" i="3" l="1"/>
  <c r="I19" i="3" s="1"/>
  <c r="J19" i="3" s="1"/>
  <c r="L8" i="1"/>
  <c r="L19" i="3" l="1"/>
  <c r="I20" i="3" s="1"/>
  <c r="J20" i="3" s="1"/>
  <c r="I9" i="1"/>
  <c r="J9" i="1" s="1"/>
  <c r="L20" i="3" l="1"/>
  <c r="I21" i="3" s="1"/>
  <c r="J21" i="3" s="1"/>
  <c r="L21" i="3" s="1"/>
  <c r="I22" i="3" s="1"/>
  <c r="L9" i="1"/>
  <c r="J22" i="3" l="1"/>
  <c r="I10" i="1"/>
  <c r="J10" i="1" s="1"/>
  <c r="L22" i="3" l="1"/>
  <c r="I23" i="3" s="1"/>
  <c r="J23" i="3" s="1"/>
  <c r="L10" i="1"/>
  <c r="L23" i="3" l="1"/>
  <c r="I11" i="1"/>
  <c r="J11" i="1" s="1"/>
  <c r="I24" i="3" l="1"/>
  <c r="J24" i="3" s="1"/>
  <c r="L24" i="3" s="1"/>
  <c r="I25" i="3" s="1"/>
  <c r="J25" i="3" s="1"/>
  <c r="L11" i="1"/>
  <c r="L25" i="3" l="1"/>
  <c r="I26" i="3" s="1"/>
  <c r="J26" i="3" s="1"/>
  <c r="I12" i="1"/>
  <c r="J12" i="1" s="1"/>
  <c r="L26" i="3" l="1"/>
  <c r="I27" i="3" s="1"/>
  <c r="J27" i="3" s="1"/>
  <c r="L27" i="3" s="1"/>
  <c r="I28" i="3" s="1"/>
  <c r="L12" i="1"/>
  <c r="J28" i="3" l="1"/>
  <c r="I13" i="1"/>
  <c r="J13" i="1" s="1"/>
  <c r="L28" i="3" l="1"/>
  <c r="I29" i="3" s="1"/>
  <c r="J29" i="3" s="1"/>
  <c r="L13" i="1"/>
  <c r="L29" i="3" l="1"/>
  <c r="I30" i="3" s="1"/>
  <c r="J30" i="3" s="1"/>
  <c r="I14" i="1"/>
  <c r="J14" i="1" s="1"/>
  <c r="L30" i="3" l="1"/>
  <c r="I31" i="3" s="1"/>
  <c r="J31" i="3" s="1"/>
  <c r="L14" i="1"/>
  <c r="L31" i="3" l="1"/>
  <c r="O8" i="3" s="1"/>
  <c r="P8" i="3" s="1"/>
  <c r="R8" i="3" s="1"/>
  <c r="O9" i="3" s="1"/>
  <c r="P9" i="3" s="1"/>
  <c r="R9" i="3" s="1"/>
  <c r="I15" i="1"/>
  <c r="J15" i="1" s="1"/>
  <c r="O10" i="3" l="1"/>
  <c r="P10" i="3" s="1"/>
  <c r="R10" i="3" s="1"/>
  <c r="L15" i="1"/>
  <c r="O11" i="3" l="1"/>
  <c r="I16" i="1"/>
  <c r="J16" i="1" s="1"/>
  <c r="P11" i="3" l="1"/>
  <c r="L16" i="1"/>
  <c r="R11" i="3" l="1"/>
  <c r="O12" i="3" s="1"/>
  <c r="P12" i="3" s="1"/>
  <c r="I17" i="1"/>
  <c r="J17" i="1" s="1"/>
  <c r="R12" i="3" l="1"/>
  <c r="O13" i="3" s="1"/>
  <c r="P13" i="3" s="1"/>
  <c r="L17" i="1"/>
  <c r="R13" i="3" l="1"/>
  <c r="O14" i="3" s="1"/>
  <c r="P14" i="3" s="1"/>
  <c r="I18" i="1"/>
  <c r="J18" i="1" s="1"/>
  <c r="O15" i="3" l="1"/>
  <c r="P15" i="3" s="1"/>
  <c r="R14" i="3"/>
  <c r="L18" i="1"/>
  <c r="R15" i="3" l="1"/>
  <c r="O16" i="3" s="1"/>
  <c r="P16" i="3" s="1"/>
  <c r="I19" i="1"/>
  <c r="J19" i="1" s="1"/>
  <c r="R16" i="3" l="1"/>
  <c r="O17" i="3" s="1"/>
  <c r="P17" i="3" s="1"/>
  <c r="L19" i="1"/>
  <c r="O18" i="3" l="1"/>
  <c r="P18" i="3" s="1"/>
  <c r="R17" i="3"/>
  <c r="I20" i="1"/>
  <c r="J20" i="1" s="1"/>
  <c r="O19" i="3" l="1"/>
  <c r="P19" i="3" s="1"/>
  <c r="R18" i="3"/>
  <c r="L20" i="1"/>
  <c r="O20" i="3" l="1"/>
  <c r="P20" i="3" s="1"/>
  <c r="R19" i="3"/>
  <c r="I21" i="1"/>
  <c r="J21" i="1" s="1"/>
  <c r="O21" i="3" l="1"/>
  <c r="P21" i="3" s="1"/>
  <c r="R20" i="3"/>
  <c r="L21" i="1"/>
  <c r="O22" i="3" l="1"/>
  <c r="P22" i="3" s="1"/>
  <c r="R21" i="3"/>
  <c r="I22" i="1"/>
  <c r="J22" i="1" s="1"/>
  <c r="O23" i="3" l="1"/>
  <c r="P23" i="3" s="1"/>
  <c r="R22" i="3"/>
  <c r="L22" i="1"/>
  <c r="R23" i="3" l="1"/>
  <c r="O24" i="3" s="1"/>
  <c r="P24" i="3" s="1"/>
  <c r="I23" i="1"/>
  <c r="J23" i="1" s="1"/>
  <c r="R24" i="3" l="1"/>
  <c r="O25" i="3" s="1"/>
  <c r="P25" i="3" s="1"/>
  <c r="L23" i="1"/>
  <c r="R25" i="3" l="1"/>
  <c r="O26" i="3" s="1"/>
  <c r="P26" i="3" s="1"/>
  <c r="I24" i="1"/>
  <c r="J24" i="1" s="1"/>
  <c r="R26" i="3" l="1"/>
  <c r="O27" i="3" s="1"/>
  <c r="P27" i="3" s="1"/>
  <c r="L24" i="1"/>
  <c r="R27" i="3" l="1"/>
  <c r="O28" i="3" s="1"/>
  <c r="P28" i="3" s="1"/>
  <c r="I25" i="1"/>
  <c r="J25" i="1" s="1"/>
  <c r="R28" i="3" l="1"/>
  <c r="O29" i="3" s="1"/>
  <c r="P29" i="3" s="1"/>
  <c r="L25" i="1"/>
  <c r="R29" i="3" l="1"/>
  <c r="O30" i="3" s="1"/>
  <c r="P30" i="3" s="1"/>
  <c r="I26" i="1"/>
  <c r="J26" i="1" s="1"/>
  <c r="R30" i="3" l="1"/>
  <c r="O31" i="3" s="1"/>
  <c r="P31" i="3" s="1"/>
  <c r="R31" i="3" s="1"/>
  <c r="O32" i="3" s="1"/>
  <c r="P32" i="3" s="1"/>
  <c r="R32" i="3" s="1"/>
  <c r="N3" i="3" s="1"/>
  <c r="L26" i="1"/>
  <c r="I27" i="1" l="1"/>
  <c r="J27" i="1" s="1"/>
  <c r="L27" i="1" l="1"/>
  <c r="I28" i="1" l="1"/>
  <c r="J28" i="1" s="1"/>
  <c r="L28" i="1" l="1"/>
  <c r="I29" i="1" l="1"/>
  <c r="J29" i="1" s="1"/>
  <c r="L29" i="1" l="1"/>
  <c r="I30" i="1" l="1"/>
  <c r="J30" i="1" s="1"/>
  <c r="L30" i="1" l="1"/>
  <c r="I31" i="1" l="1"/>
  <c r="J31" i="1" s="1"/>
  <c r="L31" i="1" l="1"/>
  <c r="O8" i="1" l="1"/>
  <c r="P8" i="1" s="1"/>
  <c r="R8" i="1" l="1"/>
  <c r="O9" i="1" l="1"/>
  <c r="P9" i="1" s="1"/>
  <c r="R9" i="1" l="1"/>
  <c r="O10" i="1" l="1"/>
  <c r="P10" i="1" s="1"/>
  <c r="R10" i="1" l="1"/>
  <c r="O11" i="1" l="1"/>
  <c r="P11" i="1" s="1"/>
  <c r="R11" i="1" l="1"/>
  <c r="O12" i="1" l="1"/>
  <c r="P12" i="1" s="1"/>
  <c r="R12" i="1" l="1"/>
  <c r="O13" i="1" l="1"/>
  <c r="P13" i="1" s="1"/>
  <c r="R13" i="1" l="1"/>
  <c r="O14" i="1" l="1"/>
  <c r="P14" i="1" s="1"/>
  <c r="R14" i="1" l="1"/>
  <c r="O15" i="1" l="1"/>
  <c r="P15" i="1" s="1"/>
  <c r="R15" i="1" l="1"/>
  <c r="O16" i="1" l="1"/>
  <c r="P16" i="1" s="1"/>
  <c r="R16" i="1" l="1"/>
  <c r="O17" i="1" l="1"/>
  <c r="P17" i="1" s="1"/>
  <c r="R17" i="1" l="1"/>
  <c r="O18" i="1" l="1"/>
  <c r="P18" i="1" s="1"/>
  <c r="R18" i="1" l="1"/>
  <c r="O19" i="1" l="1"/>
  <c r="P19" i="1" s="1"/>
  <c r="R19" i="1" l="1"/>
  <c r="O20" i="1" l="1"/>
  <c r="P20" i="1" s="1"/>
  <c r="R20" i="1" l="1"/>
  <c r="O21" i="1" l="1"/>
  <c r="P21" i="1" s="1"/>
  <c r="R21" i="1" l="1"/>
  <c r="O22" i="1" l="1"/>
  <c r="P22" i="1" s="1"/>
  <c r="R22" i="1" l="1"/>
  <c r="O23" i="1" s="1"/>
  <c r="P23" i="1" s="1"/>
  <c r="R23" i="1" l="1"/>
  <c r="O24" i="1" l="1"/>
  <c r="P24" i="1" s="1"/>
  <c r="R24" i="1" l="1"/>
  <c r="O25" i="1" l="1"/>
  <c r="P25" i="1" s="1"/>
  <c r="R25" i="1" l="1"/>
  <c r="O26" i="1" l="1"/>
  <c r="P26" i="1" s="1"/>
  <c r="R26" i="1" l="1"/>
  <c r="O27" i="1" l="1"/>
  <c r="P27" i="1" s="1"/>
  <c r="R27" i="1" l="1"/>
  <c r="O28" i="1" l="1"/>
  <c r="P28" i="1" s="1"/>
  <c r="R28" i="1" l="1"/>
  <c r="O29" i="1" l="1"/>
  <c r="P29" i="1" s="1"/>
  <c r="R29" i="1" l="1"/>
  <c r="O30" i="1" l="1"/>
  <c r="P30" i="1" s="1"/>
  <c r="R30" i="1" l="1"/>
  <c r="O31" i="1" l="1"/>
  <c r="P31" i="1" s="1"/>
  <c r="R31" i="1" s="1"/>
</calcChain>
</file>

<file path=xl/sharedStrings.xml><?xml version="1.0" encoding="utf-8"?>
<sst xmlns="http://schemas.openxmlformats.org/spreadsheetml/2006/main" count="60" uniqueCount="31">
  <si>
    <t>Payment</t>
  </si>
  <si>
    <t>Price (car)</t>
  </si>
  <si>
    <t>Annual Interest</t>
  </si>
  <si>
    <t>(rate)</t>
  </si>
  <si>
    <t>(pv)</t>
  </si>
  <si>
    <t>Period (years)</t>
  </si>
  <si>
    <t>(PMT)</t>
  </si>
  <si>
    <r>
      <rPr>
        <b/>
        <sz val="11"/>
        <rFont val="Aptos Narrow"/>
        <family val="2"/>
        <scheme val="minor"/>
      </rPr>
      <t>=PMT(</t>
    </r>
    <r>
      <rPr>
        <b/>
        <sz val="11"/>
        <color theme="6"/>
        <rFont val="Aptos Narrow"/>
        <family val="2"/>
        <scheme val="minor"/>
      </rPr>
      <t>rate/12</t>
    </r>
    <r>
      <rPr>
        <b/>
        <sz val="11"/>
        <color rgb="FFFF0000"/>
        <rFont val="Aptos Narrow"/>
        <family val="2"/>
        <scheme val="minor"/>
      </rPr>
      <t xml:space="preserve">, </t>
    </r>
    <r>
      <rPr>
        <b/>
        <sz val="11"/>
        <color theme="5" tint="-0.249977111117893"/>
        <rFont val="Aptos Narrow"/>
        <family val="2"/>
        <scheme val="minor"/>
      </rPr>
      <t>nper*12</t>
    </r>
    <r>
      <rPr>
        <b/>
        <sz val="11"/>
        <color rgb="FFFF0000"/>
        <rFont val="Aptos Narrow"/>
        <family val="2"/>
        <scheme val="minor"/>
      </rPr>
      <t>, -</t>
    </r>
    <r>
      <rPr>
        <b/>
        <sz val="11"/>
        <color theme="4"/>
        <rFont val="Aptos Narrow"/>
        <family val="2"/>
        <scheme val="minor"/>
      </rPr>
      <t>pv</t>
    </r>
    <r>
      <rPr>
        <b/>
        <sz val="11"/>
        <rFont val="Aptos Narrow"/>
        <family val="2"/>
        <scheme val="minor"/>
      </rPr>
      <t>)</t>
    </r>
  </si>
  <si>
    <t>Months</t>
  </si>
  <si>
    <t>To interests</t>
  </si>
  <si>
    <t>To Capital</t>
  </si>
  <si>
    <t>To be payed</t>
  </si>
  <si>
    <t>Total to be paid after 6 years</t>
  </si>
  <si>
    <t>Car original cost</t>
  </si>
  <si>
    <r>
      <t xml:space="preserve"> (PMT*</t>
    </r>
    <r>
      <rPr>
        <b/>
        <sz val="11"/>
        <color theme="5" tint="-0.249977111117893"/>
        <rFont val="Aptos Narrow"/>
        <family val="2"/>
        <scheme val="minor"/>
      </rPr>
      <t>nper*12</t>
    </r>
    <r>
      <rPr>
        <b/>
        <sz val="11"/>
        <color theme="1"/>
        <rFont val="Aptos Narrow"/>
        <family val="2"/>
        <scheme val="minor"/>
      </rPr>
      <t>)</t>
    </r>
  </si>
  <si>
    <t>Extra Payed Amount</t>
  </si>
  <si>
    <t>Present Value</t>
  </si>
  <si>
    <t>Future Value</t>
  </si>
  <si>
    <t>(nper)</t>
  </si>
  <si>
    <r>
      <t>=FV(</t>
    </r>
    <r>
      <rPr>
        <b/>
        <sz val="11"/>
        <color theme="6"/>
        <rFont val="Aptos Narrow"/>
        <family val="2"/>
        <scheme val="minor"/>
      </rPr>
      <t>rate/12</t>
    </r>
    <r>
      <rPr>
        <b/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5" tint="-0.249977111117893"/>
        <rFont val="Aptos Narrow"/>
        <family val="2"/>
        <scheme val="minor"/>
      </rPr>
      <t>nper*12</t>
    </r>
    <r>
      <rPr>
        <b/>
        <sz val="11"/>
        <color theme="1"/>
        <rFont val="Aptos Narrow"/>
        <family val="2"/>
        <scheme val="minor"/>
      </rPr>
      <t>, -</t>
    </r>
    <r>
      <rPr>
        <b/>
        <sz val="11"/>
        <color theme="8"/>
        <rFont val="Aptos Narrow"/>
        <family val="2"/>
        <scheme val="minor"/>
      </rPr>
      <t>pmt,</t>
    </r>
    <r>
      <rPr>
        <b/>
        <sz val="11"/>
        <color theme="1"/>
        <rFont val="Aptos Narrow"/>
        <family val="2"/>
        <scheme val="minor"/>
      </rPr>
      <t xml:space="preserve"> -</t>
    </r>
    <r>
      <rPr>
        <b/>
        <sz val="11"/>
        <color theme="4"/>
        <rFont val="Aptos Narrow"/>
        <family val="2"/>
        <scheme val="minor"/>
      </rPr>
      <t>pv</t>
    </r>
    <r>
      <rPr>
        <b/>
        <sz val="11"/>
        <color theme="1"/>
        <rFont val="Aptos Narrow"/>
        <family val="2"/>
        <scheme val="minor"/>
      </rPr>
      <t>)</t>
    </r>
  </si>
  <si>
    <t>Capital</t>
  </si>
  <si>
    <t>From Interest</t>
  </si>
  <si>
    <t>Amount</t>
  </si>
  <si>
    <t>You will have the $50,000 to buy a car in less than 4 years</t>
  </si>
  <si>
    <t>You will have saved more than 3 times the cost of the car in the same period</t>
  </si>
  <si>
    <t>(72 months after opening the savings account)</t>
  </si>
  <si>
    <t>you will have within the same 72 month period.</t>
  </si>
  <si>
    <t>(45 months after opening the savings account)</t>
  </si>
  <si>
    <t>If you continue saving the same amount of money for the remaining 27 months</t>
  </si>
  <si>
    <t>acount</t>
  </si>
  <si>
    <t>Open 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</si>
</sst>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71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1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quotePrefix="1" applyAlignment="1">
      <alignment horizontal="center"/>
    </xf>
    <xf numFmtId="8" fontId="0" fillId="0" borderId="0" xfId="0" applyNumberFormat="1"/>
    <xf numFmtId="0" fontId="8" fillId="0" borderId="0" xfId="0" quotePrefix="1" applyFont="1" applyAlignment="1">
      <alignment horizontal="center"/>
    </xf>
    <xf numFmtId="0" fontId="5" fillId="0" borderId="0" xfId="0" quotePrefix="1" applyFont="1" applyAlignment="1">
      <alignment horizontal="center"/>
    </xf>
    <xf numFmtId="0" fontId="7" fillId="0" borderId="0" xfId="0" quotePrefix="1" applyFont="1" applyAlignment="1">
      <alignment horizontal="center"/>
    </xf>
    <xf numFmtId="8" fontId="3" fillId="0" borderId="0" xfId="0" applyNumberFormat="1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44" fontId="0" fillId="0" borderId="0" xfId="0" applyNumberFormat="1"/>
    <xf numFmtId="44" fontId="0" fillId="0" borderId="0" xfId="0" applyNumberFormat="1" applyAlignment="1">
      <alignment horizontal="center"/>
    </xf>
    <xf numFmtId="8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6" fillId="0" borderId="0" xfId="0" quotePrefix="1" applyFont="1" applyAlignment="1">
      <alignment horizontal="left"/>
    </xf>
    <xf numFmtId="0" fontId="0" fillId="2" borderId="0" xfId="0" applyFill="1"/>
    <xf numFmtId="44" fontId="0" fillId="0" borderId="1" xfId="0" applyNumberFormat="1" applyBorder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8" fontId="2" fillId="0" borderId="0" xfId="0" applyNumberFormat="1" applyFont="1"/>
    <xf numFmtId="0" fontId="2" fillId="0" borderId="0" xfId="0" applyFont="1" applyBorder="1"/>
    <xf numFmtId="0" fontId="0" fillId="0" borderId="0" xfId="0" applyBorder="1"/>
    <xf numFmtId="0" fontId="0" fillId="0" borderId="1" xfId="0" applyBorder="1"/>
    <xf numFmtId="0" fontId="7" fillId="0" borderId="0" xfId="0" applyFont="1"/>
    <xf numFmtId="8" fontId="7" fillId="0" borderId="0" xfId="0" applyNumberFormat="1" applyFont="1"/>
    <xf numFmtId="171" fontId="7" fillId="0" borderId="0" xfId="0" applyNumberFormat="1" applyFont="1" applyAlignment="1">
      <alignment horizontal="center"/>
    </xf>
    <xf numFmtId="0" fontId="9" fillId="0" borderId="0" xfId="0" quotePrefix="1" applyFont="1" applyAlignment="1">
      <alignment horizontal="center"/>
    </xf>
    <xf numFmtId="0" fontId="2" fillId="0" borderId="0" xfId="0" quotePrefix="1" applyFont="1" applyAlignment="1">
      <alignment horizontal="left"/>
    </xf>
    <xf numFmtId="44" fontId="2" fillId="0" borderId="0" xfId="0" applyNumberFormat="1" applyFont="1" applyAlignment="1">
      <alignment horizontal="center"/>
    </xf>
    <xf numFmtId="8" fontId="2" fillId="0" borderId="0" xfId="0" applyNumberFormat="1" applyFont="1" applyAlignment="1">
      <alignment horizontal="center"/>
    </xf>
    <xf numFmtId="44" fontId="0" fillId="0" borderId="0" xfId="0" applyNumberFormat="1" applyBorder="1"/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8" fontId="0" fillId="0" borderId="0" xfId="0" applyNumberFormat="1" applyFont="1"/>
    <xf numFmtId="0" fontId="0" fillId="0" borderId="0" xfId="0" applyFont="1" applyAlignment="1">
      <alignment horizontal="center"/>
    </xf>
    <xf numFmtId="44" fontId="0" fillId="0" borderId="0" xfId="0" applyNumberFormat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52917</xdr:colOff>
      <xdr:row>6</xdr:row>
      <xdr:rowOff>169333</xdr:rowOff>
    </xdr:from>
    <xdr:to>
      <xdr:col>1</xdr:col>
      <xdr:colOff>433917</xdr:colOff>
      <xdr:row>8</xdr:row>
      <xdr:rowOff>31750</xdr:rowOff>
    </xdr:to>
    <xdr:sp macro="" textlink="">
      <xdr:nvSpPr>
        <xdr:cNvPr id="2" name="Flecha: a la derecha 1">
          <a:extLst>
            <a:ext uri="{FF2B5EF4-FFF2-40B4-BE49-F238E27FC236}">
              <a16:creationId xmlns:a16="http://schemas.microsoft.com/office/drawing/2014/main" id="{FEF6305A-571B-8999-23EF-C0D6AF9A4325}"/>
            </a:ext>
          </a:extLst>
        </xdr:cNvPr>
        <xdr:cNvSpPr/>
      </xdr:nvSpPr>
      <xdr:spPr>
        <a:xfrm>
          <a:off x="814917" y="1312333"/>
          <a:ext cx="381000" cy="24341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SV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C4AF-4B84-4C45-806B-58A4C3B838D8}">
  <dimension ref="B2:R31"/>
  <sheetViews>
    <sheetView showGridLines="0" zoomScale="90" zoomScaleNormal="90" workbookViewId="0">
      <selection activeCell="T30" sqref="T30"/>
    </sheetView>
  </sheetViews>
  <sheetFormatPr baseColWidth="10" defaultRowHeight="15" x14ac:dyDescent="0.25"/>
  <cols>
    <col min="2" max="2" width="15" style="2" customWidth="1"/>
    <col min="3" max="3" width="13.7109375" style="2" customWidth="1"/>
    <col min="4" max="4" width="13.7109375" style="17" customWidth="1"/>
    <col min="5" max="6" width="13.7109375" customWidth="1"/>
    <col min="7" max="7" width="3.85546875" customWidth="1"/>
    <col min="8" max="12" width="13.7109375" customWidth="1"/>
    <col min="13" max="13" width="3.85546875" customWidth="1"/>
    <col min="14" max="18" width="13.7109375" customWidth="1"/>
  </cols>
  <sheetData>
    <row r="2" spans="2:18" x14ac:dyDescent="0.25">
      <c r="B2" s="13" t="s">
        <v>1</v>
      </c>
      <c r="C2" s="3">
        <v>50000</v>
      </c>
      <c r="D2" s="6" t="s">
        <v>4</v>
      </c>
      <c r="H2" s="25" t="s">
        <v>12</v>
      </c>
      <c r="I2" s="26"/>
      <c r="J2" s="5">
        <f>C5*C4*12</f>
        <v>76122.048007552803</v>
      </c>
      <c r="K2" s="11" t="s">
        <v>14</v>
      </c>
    </row>
    <row r="3" spans="2:18" x14ac:dyDescent="0.25">
      <c r="B3" s="13" t="s">
        <v>2</v>
      </c>
      <c r="C3" s="1">
        <v>0.15</v>
      </c>
      <c r="D3" s="7" t="s">
        <v>3</v>
      </c>
      <c r="H3" s="22" t="s">
        <v>13</v>
      </c>
      <c r="I3" s="27"/>
      <c r="J3" s="21">
        <f>C2</f>
        <v>50000</v>
      </c>
      <c r="K3" s="23" t="str">
        <f>B2</f>
        <v>Price (car)</v>
      </c>
    </row>
    <row r="4" spans="2:18" x14ac:dyDescent="0.25">
      <c r="B4" s="13" t="s">
        <v>5</v>
      </c>
      <c r="C4" s="2">
        <v>6</v>
      </c>
      <c r="D4" s="8" t="s">
        <v>18</v>
      </c>
      <c r="H4" s="28" t="s">
        <v>15</v>
      </c>
      <c r="I4" s="28"/>
      <c r="J4" s="29">
        <f>J2-J3</f>
        <v>26122.048007552803</v>
      </c>
      <c r="K4" s="30" t="str">
        <f>_xlfn.CONCAT(ROUND(J4*100/J3,1),"%")</f>
        <v>52.2%</v>
      </c>
      <c r="Q4" s="5">
        <f>J4+Savings!N4</f>
        <v>55760.095940520056</v>
      </c>
    </row>
    <row r="5" spans="2:18" x14ac:dyDescent="0.25">
      <c r="B5" s="13" t="s">
        <v>0</v>
      </c>
      <c r="C5" s="9">
        <f>PMT(C3/12,C4*12,-C2)</f>
        <v>1057.2506667715668</v>
      </c>
      <c r="D5" s="19" t="s">
        <v>7</v>
      </c>
    </row>
    <row r="6" spans="2:18" x14ac:dyDescent="0.25">
      <c r="B6" s="4"/>
      <c r="C6" s="4"/>
      <c r="D6" s="4"/>
    </row>
    <row r="7" spans="2:18" x14ac:dyDescent="0.25">
      <c r="B7" s="12" t="s">
        <v>8</v>
      </c>
      <c r="C7" s="11" t="s">
        <v>9</v>
      </c>
      <c r="D7" s="11" t="s">
        <v>10</v>
      </c>
      <c r="E7" s="11" t="s">
        <v>0</v>
      </c>
      <c r="F7" s="11" t="s">
        <v>11</v>
      </c>
      <c r="G7" s="20"/>
      <c r="H7" s="12" t="s">
        <v>8</v>
      </c>
      <c r="I7" s="11" t="s">
        <v>9</v>
      </c>
      <c r="J7" s="11" t="s">
        <v>10</v>
      </c>
      <c r="K7" s="11" t="s">
        <v>0</v>
      </c>
      <c r="L7" s="11" t="s">
        <v>11</v>
      </c>
      <c r="M7" s="20"/>
      <c r="N7" s="12" t="s">
        <v>8</v>
      </c>
      <c r="O7" s="11" t="s">
        <v>9</v>
      </c>
      <c r="P7" s="11" t="s">
        <v>10</v>
      </c>
      <c r="Q7" s="11" t="s">
        <v>0</v>
      </c>
      <c r="R7" s="11" t="s">
        <v>11</v>
      </c>
    </row>
    <row r="8" spans="2:18" x14ac:dyDescent="0.25">
      <c r="B8" s="2">
        <v>1</v>
      </c>
      <c r="C8" s="15">
        <f>C2*$C$3/12</f>
        <v>625</v>
      </c>
      <c r="D8" s="18">
        <f>E8-C8</f>
        <v>432.25066677156678</v>
      </c>
      <c r="E8" s="5">
        <f>$C$5</f>
        <v>1057.2506667715668</v>
      </c>
      <c r="F8" s="14">
        <f>C2-D8</f>
        <v>49567.749333228436</v>
      </c>
      <c r="G8" s="20"/>
      <c r="H8" s="2">
        <f>B31+1</f>
        <v>25</v>
      </c>
      <c r="I8" s="15">
        <f>F31*$C$3/12</f>
        <v>474.85727685459239</v>
      </c>
      <c r="J8" s="18">
        <f>K8-I8</f>
        <v>582.39338991697446</v>
      </c>
      <c r="K8" s="5">
        <f t="shared" ref="E8:Q48" si="0">$C$5</f>
        <v>1057.2506667715668</v>
      </c>
      <c r="L8" s="14">
        <f>F31-J8</f>
        <v>37406.188758450422</v>
      </c>
      <c r="M8" s="20"/>
      <c r="N8" s="2">
        <f>H31+1</f>
        <v>49</v>
      </c>
      <c r="O8" s="15">
        <f>L31*$C$3/12</f>
        <v>272.56232111255662</v>
      </c>
      <c r="P8" s="18">
        <f>Q8-O8</f>
        <v>784.68834565901011</v>
      </c>
      <c r="Q8" s="5">
        <f t="shared" si="0"/>
        <v>1057.2506667715668</v>
      </c>
      <c r="R8" s="14">
        <f>L31-P8</f>
        <v>21020.297343345519</v>
      </c>
    </row>
    <row r="9" spans="2:18" x14ac:dyDescent="0.25">
      <c r="B9" s="2">
        <f>B8+1</f>
        <v>2</v>
      </c>
      <c r="C9" s="15">
        <f>F8*$C$3/12</f>
        <v>619.59686666535538</v>
      </c>
      <c r="D9" s="18">
        <f t="shared" ref="D9:D31" si="1">E9-C9</f>
        <v>437.65380010621141</v>
      </c>
      <c r="E9" s="5">
        <f t="shared" si="0"/>
        <v>1057.2506667715668</v>
      </c>
      <c r="F9" s="14">
        <f>F8-D9</f>
        <v>49130.095533122221</v>
      </c>
      <c r="G9" s="20"/>
      <c r="H9" s="2">
        <f>H8+1</f>
        <v>26</v>
      </c>
      <c r="I9" s="15">
        <f>L8*$C$3/12</f>
        <v>467.57735948063026</v>
      </c>
      <c r="J9" s="18">
        <f>K9-I9</f>
        <v>589.67330729093646</v>
      </c>
      <c r="K9" s="5">
        <f t="shared" si="0"/>
        <v>1057.2506667715668</v>
      </c>
      <c r="L9" s="14">
        <f>L8-J9</f>
        <v>36816.515451159488</v>
      </c>
      <c r="M9" s="20"/>
      <c r="N9" s="2">
        <f>N8+1</f>
        <v>50</v>
      </c>
      <c r="O9" s="15">
        <f>R8*$C$3/12</f>
        <v>262.75371679181899</v>
      </c>
      <c r="P9" s="18">
        <f>Q9-O9</f>
        <v>794.4969499797478</v>
      </c>
      <c r="Q9" s="5">
        <f t="shared" si="0"/>
        <v>1057.2506667715668</v>
      </c>
      <c r="R9" s="14">
        <f>R8-P9</f>
        <v>20225.800393365771</v>
      </c>
    </row>
    <row r="10" spans="2:18" x14ac:dyDescent="0.25">
      <c r="B10" s="2">
        <f t="shared" ref="B10:B31" si="2">B9+1</f>
        <v>3</v>
      </c>
      <c r="C10" s="15">
        <f t="shared" ref="C10:C31" si="3">F9*$C$3/12</f>
        <v>614.12619416402777</v>
      </c>
      <c r="D10" s="18">
        <f t="shared" si="1"/>
        <v>443.12447260753902</v>
      </c>
      <c r="E10" s="5">
        <f t="shared" si="0"/>
        <v>1057.2506667715668</v>
      </c>
      <c r="F10" s="14">
        <f t="shared" ref="F10:F31" si="4">F9-D10</f>
        <v>48686.971060514683</v>
      </c>
      <c r="G10" s="20"/>
      <c r="H10" s="2">
        <f>H9+1</f>
        <v>27</v>
      </c>
      <c r="I10" s="15">
        <f>L9*$C$3/12</f>
        <v>460.20644313949356</v>
      </c>
      <c r="J10" s="18">
        <f>K10-I10</f>
        <v>597.04422363207323</v>
      </c>
      <c r="K10" s="5">
        <f t="shared" si="0"/>
        <v>1057.2506667715668</v>
      </c>
      <c r="L10" s="14">
        <f>L9-J10</f>
        <v>36219.471227527414</v>
      </c>
      <c r="M10" s="20"/>
      <c r="N10" s="2">
        <f>N9+1</f>
        <v>51</v>
      </c>
      <c r="O10" s="15">
        <f>R9*$C$3/12</f>
        <v>252.82250491707214</v>
      </c>
      <c r="P10" s="18">
        <f>Q10-O10</f>
        <v>804.42816185449465</v>
      </c>
      <c r="Q10" s="5">
        <f t="shared" si="0"/>
        <v>1057.2506667715668</v>
      </c>
      <c r="R10" s="14">
        <f>R9-P10</f>
        <v>19421.372231511275</v>
      </c>
    </row>
    <row r="11" spans="2:18" x14ac:dyDescent="0.25">
      <c r="B11" s="2">
        <f t="shared" si="2"/>
        <v>4</v>
      </c>
      <c r="C11" s="15">
        <f t="shared" si="3"/>
        <v>608.58713825643349</v>
      </c>
      <c r="D11" s="18">
        <f t="shared" si="1"/>
        <v>448.66352851513329</v>
      </c>
      <c r="E11" s="5">
        <f t="shared" si="0"/>
        <v>1057.2506667715668</v>
      </c>
      <c r="F11" s="14">
        <f t="shared" si="4"/>
        <v>48238.307531999548</v>
      </c>
      <c r="G11" s="20"/>
      <c r="H11" s="2">
        <f>H10+1</f>
        <v>28</v>
      </c>
      <c r="I11" s="15">
        <f>L10*$C$3/12</f>
        <v>452.74339034409263</v>
      </c>
      <c r="J11" s="18">
        <f>K11-I11</f>
        <v>604.50727642747415</v>
      </c>
      <c r="K11" s="5">
        <f t="shared" si="0"/>
        <v>1057.2506667715668</v>
      </c>
      <c r="L11" s="14">
        <f>L10-J11</f>
        <v>35614.96395109994</v>
      </c>
      <c r="M11" s="20"/>
      <c r="N11" s="2">
        <f>N10+1</f>
        <v>52</v>
      </c>
      <c r="O11" s="15">
        <f>R10*$C$3/12</f>
        <v>242.76715289389094</v>
      </c>
      <c r="P11" s="18">
        <f>Q11-O11</f>
        <v>814.48351387767582</v>
      </c>
      <c r="Q11" s="5">
        <f t="shared" si="0"/>
        <v>1057.2506667715668</v>
      </c>
      <c r="R11" s="14">
        <f>R10-P11</f>
        <v>18606.888717633599</v>
      </c>
    </row>
    <row r="12" spans="2:18" x14ac:dyDescent="0.25">
      <c r="B12" s="2">
        <f t="shared" si="2"/>
        <v>5</v>
      </c>
      <c r="C12" s="15">
        <f t="shared" si="3"/>
        <v>602.9788441499943</v>
      </c>
      <c r="D12" s="18">
        <f t="shared" si="1"/>
        <v>454.27182262157248</v>
      </c>
      <c r="E12" s="5">
        <f t="shared" si="0"/>
        <v>1057.2506667715668</v>
      </c>
      <c r="F12" s="14">
        <f t="shared" si="4"/>
        <v>47784.035709377975</v>
      </c>
      <c r="G12" s="20"/>
      <c r="H12" s="2">
        <f>H11+1</f>
        <v>29</v>
      </c>
      <c r="I12" s="15">
        <f>L11*$C$3/12</f>
        <v>445.18704938874924</v>
      </c>
      <c r="J12" s="18">
        <f>K12-I12</f>
        <v>612.06361738281748</v>
      </c>
      <c r="K12" s="5">
        <f t="shared" si="0"/>
        <v>1057.2506667715668</v>
      </c>
      <c r="L12" s="14">
        <f>L11-J12</f>
        <v>35002.900333717123</v>
      </c>
      <c r="M12" s="20"/>
      <c r="N12" s="2">
        <f>N11+1</f>
        <v>53</v>
      </c>
      <c r="O12" s="15">
        <f>R11*$C$3/12</f>
        <v>232.58610897041999</v>
      </c>
      <c r="P12" s="18">
        <f>Q12-O12</f>
        <v>824.66455780114677</v>
      </c>
      <c r="Q12" s="5">
        <f t="shared" si="0"/>
        <v>1057.2506667715668</v>
      </c>
      <c r="R12" s="14">
        <f>R11-P12</f>
        <v>17782.224159832451</v>
      </c>
    </row>
    <row r="13" spans="2:18" x14ac:dyDescent="0.25">
      <c r="B13" s="2">
        <f t="shared" si="2"/>
        <v>6</v>
      </c>
      <c r="C13" s="15">
        <f t="shared" si="3"/>
        <v>597.30044636722471</v>
      </c>
      <c r="D13" s="18">
        <f t="shared" si="1"/>
        <v>459.95022040434208</v>
      </c>
      <c r="E13" s="5">
        <f t="shared" si="0"/>
        <v>1057.2506667715668</v>
      </c>
      <c r="F13" s="14">
        <f t="shared" si="4"/>
        <v>47324.085488973629</v>
      </c>
      <c r="G13" s="20"/>
      <c r="H13" s="2">
        <f>H12+1</f>
        <v>30</v>
      </c>
      <c r="I13" s="15">
        <f>L12*$C$3/12</f>
        <v>437.53625417146401</v>
      </c>
      <c r="J13" s="18">
        <f>K13-I13</f>
        <v>619.71441260010283</v>
      </c>
      <c r="K13" s="5">
        <f t="shared" si="0"/>
        <v>1057.2506667715668</v>
      </c>
      <c r="L13" s="14">
        <f>L12-J13</f>
        <v>34383.185921117023</v>
      </c>
      <c r="M13" s="20"/>
      <c r="N13" s="2">
        <f>N12+1</f>
        <v>54</v>
      </c>
      <c r="O13" s="15">
        <f>R12*$C$3/12</f>
        <v>222.27780199790561</v>
      </c>
      <c r="P13" s="18">
        <f>Q13-O13</f>
        <v>834.97286477366117</v>
      </c>
      <c r="Q13" s="5">
        <f t="shared" si="0"/>
        <v>1057.2506667715668</v>
      </c>
      <c r="R13" s="14">
        <f>R12-P13</f>
        <v>16947.251295058788</v>
      </c>
    </row>
    <row r="14" spans="2:18" x14ac:dyDescent="0.25">
      <c r="B14" s="2">
        <f t="shared" si="2"/>
        <v>7</v>
      </c>
      <c r="C14" s="15">
        <f t="shared" si="3"/>
        <v>591.5510686121703</v>
      </c>
      <c r="D14" s="18">
        <f t="shared" si="1"/>
        <v>465.69959815939649</v>
      </c>
      <c r="E14" s="5">
        <f t="shared" si="0"/>
        <v>1057.2506667715668</v>
      </c>
      <c r="F14" s="14">
        <f t="shared" si="4"/>
        <v>46858.385890814236</v>
      </c>
      <c r="G14" s="20"/>
      <c r="H14" s="2">
        <f>H13+1</f>
        <v>31</v>
      </c>
      <c r="I14" s="15">
        <f>L13*$C$3/12</f>
        <v>429.78982401396274</v>
      </c>
      <c r="J14" s="18">
        <f>K14-I14</f>
        <v>627.46084275760404</v>
      </c>
      <c r="K14" s="5">
        <f t="shared" si="0"/>
        <v>1057.2506667715668</v>
      </c>
      <c r="L14" s="14">
        <f>L13-J14</f>
        <v>33755.725078359421</v>
      </c>
      <c r="M14" s="20"/>
      <c r="N14" s="2">
        <f>N13+1</f>
        <v>55</v>
      </c>
      <c r="O14" s="15">
        <f>R13*$C$3/12</f>
        <v>211.84064118823483</v>
      </c>
      <c r="P14" s="18">
        <f>Q14-O14</f>
        <v>845.41002558333196</v>
      </c>
      <c r="Q14" s="5">
        <f t="shared" si="0"/>
        <v>1057.2506667715668</v>
      </c>
      <c r="R14" s="14">
        <f>R13-P14</f>
        <v>16101.841269475455</v>
      </c>
    </row>
    <row r="15" spans="2:18" x14ac:dyDescent="0.25">
      <c r="B15" s="2">
        <f t="shared" si="2"/>
        <v>8</v>
      </c>
      <c r="C15" s="15">
        <f t="shared" si="3"/>
        <v>585.72982363517792</v>
      </c>
      <c r="D15" s="18">
        <f t="shared" si="1"/>
        <v>471.52084313638886</v>
      </c>
      <c r="E15" s="5">
        <f t="shared" si="0"/>
        <v>1057.2506667715668</v>
      </c>
      <c r="F15" s="14">
        <f t="shared" si="4"/>
        <v>46386.865047677849</v>
      </c>
      <c r="G15" s="20"/>
      <c r="H15" s="2">
        <f>H14+1</f>
        <v>32</v>
      </c>
      <c r="I15" s="15">
        <f>L14*$C$3/12</f>
        <v>421.9465634794928</v>
      </c>
      <c r="J15" s="18">
        <f>K15-I15</f>
        <v>635.30410329207393</v>
      </c>
      <c r="K15" s="5">
        <f t="shared" si="0"/>
        <v>1057.2506667715668</v>
      </c>
      <c r="L15" s="14">
        <f>L14-J15</f>
        <v>33120.420975067347</v>
      </c>
      <c r="M15" s="20"/>
      <c r="N15" s="2">
        <f>N14+1</f>
        <v>56</v>
      </c>
      <c r="O15" s="15">
        <f>R14*$C$3/12</f>
        <v>201.27301586844317</v>
      </c>
      <c r="P15" s="18">
        <f>Q15-O15</f>
        <v>855.97765090312362</v>
      </c>
      <c r="Q15" s="5">
        <f t="shared" si="0"/>
        <v>1057.2506667715668</v>
      </c>
      <c r="R15" s="14">
        <f>R14-P15</f>
        <v>15245.863618572332</v>
      </c>
    </row>
    <row r="16" spans="2:18" x14ac:dyDescent="0.25">
      <c r="B16" s="2">
        <f t="shared" si="2"/>
        <v>9</v>
      </c>
      <c r="C16" s="15">
        <f t="shared" si="3"/>
        <v>579.83581309597309</v>
      </c>
      <c r="D16" s="18">
        <f t="shared" si="1"/>
        <v>477.41485367559369</v>
      </c>
      <c r="E16" s="5">
        <f t="shared" si="0"/>
        <v>1057.2506667715668</v>
      </c>
      <c r="F16" s="14">
        <f t="shared" si="4"/>
        <v>45909.450194002253</v>
      </c>
      <c r="G16" s="20"/>
      <c r="H16" s="2">
        <f>H15+1</f>
        <v>33</v>
      </c>
      <c r="I16" s="15">
        <f>L15*$C$3/12</f>
        <v>414.00526218834187</v>
      </c>
      <c r="J16" s="18">
        <f>K16-I16</f>
        <v>643.24540458322485</v>
      </c>
      <c r="K16" s="5">
        <f t="shared" si="0"/>
        <v>1057.2506667715668</v>
      </c>
      <c r="L16" s="14">
        <f>L15-J16</f>
        <v>32477.175570484123</v>
      </c>
      <c r="M16" s="20"/>
      <c r="N16" s="2">
        <f>N15+1</f>
        <v>57</v>
      </c>
      <c r="O16" s="15">
        <f>R15*$C$3/12</f>
        <v>190.57329523215412</v>
      </c>
      <c r="P16" s="18">
        <f>Q16-O16</f>
        <v>866.67737153941266</v>
      </c>
      <c r="Q16" s="5">
        <f t="shared" si="0"/>
        <v>1057.2506667715668</v>
      </c>
      <c r="R16" s="14">
        <f>R15-P16</f>
        <v>14379.18624703292</v>
      </c>
    </row>
    <row r="17" spans="2:18" x14ac:dyDescent="0.25">
      <c r="B17" s="2">
        <f t="shared" si="2"/>
        <v>10</v>
      </c>
      <c r="C17" s="15">
        <f t="shared" si="3"/>
        <v>573.86812742502809</v>
      </c>
      <c r="D17" s="18">
        <f t="shared" si="1"/>
        <v>483.38253934653869</v>
      </c>
      <c r="E17" s="5">
        <f t="shared" si="0"/>
        <v>1057.2506667715668</v>
      </c>
      <c r="F17" s="14">
        <f t="shared" si="4"/>
        <v>45426.067654655715</v>
      </c>
      <c r="G17" s="20"/>
      <c r="H17" s="2">
        <f>H16+1</f>
        <v>34</v>
      </c>
      <c r="I17" s="15">
        <f>L16*$C$3/12</f>
        <v>405.96469463105154</v>
      </c>
      <c r="J17" s="18">
        <f>K17-I17</f>
        <v>651.28597214051524</v>
      </c>
      <c r="K17" s="5">
        <f t="shared" si="0"/>
        <v>1057.2506667715668</v>
      </c>
      <c r="L17" s="14">
        <f>L16-J17</f>
        <v>31825.889598343609</v>
      </c>
      <c r="M17" s="20"/>
      <c r="N17" s="2">
        <f>N16+1</f>
        <v>58</v>
      </c>
      <c r="O17" s="15">
        <f>R16*$C$3/12</f>
        <v>179.73982808791149</v>
      </c>
      <c r="P17" s="18">
        <f>Q17-O17</f>
        <v>877.51083868365527</v>
      </c>
      <c r="Q17" s="5">
        <f t="shared" si="0"/>
        <v>1057.2506667715668</v>
      </c>
      <c r="R17" s="14">
        <f>R16-P17</f>
        <v>13501.675408349265</v>
      </c>
    </row>
    <row r="18" spans="2:18" x14ac:dyDescent="0.25">
      <c r="B18" s="2">
        <f t="shared" si="2"/>
        <v>11</v>
      </c>
      <c r="C18" s="15">
        <f t="shared" si="3"/>
        <v>567.82584568319646</v>
      </c>
      <c r="D18" s="18">
        <f t="shared" si="1"/>
        <v>489.42482108837032</v>
      </c>
      <c r="E18" s="5">
        <f t="shared" si="0"/>
        <v>1057.2506667715668</v>
      </c>
      <c r="F18" s="14">
        <f t="shared" si="4"/>
        <v>44936.642833567348</v>
      </c>
      <c r="G18" s="20"/>
      <c r="H18" s="2">
        <f>H17+1</f>
        <v>35</v>
      </c>
      <c r="I18" s="15">
        <f>L17*$C$3/12</f>
        <v>397.82361997929507</v>
      </c>
      <c r="J18" s="18">
        <f>K18-I18</f>
        <v>659.42704679227177</v>
      </c>
      <c r="K18" s="5">
        <f t="shared" si="0"/>
        <v>1057.2506667715668</v>
      </c>
      <c r="L18" s="14">
        <f>L17-J18</f>
        <v>31166.462551551336</v>
      </c>
      <c r="M18" s="20"/>
      <c r="N18" s="2">
        <f>N17+1</f>
        <v>59</v>
      </c>
      <c r="O18" s="15">
        <f>R17*$C$3/12</f>
        <v>168.77094260436581</v>
      </c>
      <c r="P18" s="18">
        <f>Q18-O18</f>
        <v>888.47972416720097</v>
      </c>
      <c r="Q18" s="5">
        <f t="shared" si="0"/>
        <v>1057.2506667715668</v>
      </c>
      <c r="R18" s="14">
        <f>R17-P18</f>
        <v>12613.195684182065</v>
      </c>
    </row>
    <row r="19" spans="2:18" x14ac:dyDescent="0.25">
      <c r="B19" s="2">
        <f t="shared" si="2"/>
        <v>12</v>
      </c>
      <c r="C19" s="15">
        <f t="shared" si="3"/>
        <v>561.70803541959185</v>
      </c>
      <c r="D19" s="18">
        <f t="shared" si="1"/>
        <v>495.54263135197493</v>
      </c>
      <c r="E19" s="5">
        <f t="shared" si="0"/>
        <v>1057.2506667715668</v>
      </c>
      <c r="F19" s="14">
        <f t="shared" si="4"/>
        <v>44441.10020221537</v>
      </c>
      <c r="G19" s="20"/>
      <c r="H19" s="2">
        <f>H18+1</f>
        <v>36</v>
      </c>
      <c r="I19" s="15">
        <f>L18*$C$3/12</f>
        <v>389.58078189439169</v>
      </c>
      <c r="J19" s="18">
        <f>K19-I19</f>
        <v>667.66988487717504</v>
      </c>
      <c r="K19" s="5">
        <f t="shared" si="0"/>
        <v>1057.2506667715668</v>
      </c>
      <c r="L19" s="14">
        <f>L18-J19</f>
        <v>30498.792666674162</v>
      </c>
      <c r="M19" s="20"/>
      <c r="N19" s="2">
        <f>N18+1</f>
        <v>60</v>
      </c>
      <c r="O19" s="15">
        <f>R18*$C$3/12</f>
        <v>157.66494605227581</v>
      </c>
      <c r="P19" s="18">
        <f>Q19-O19</f>
        <v>899.58572071929098</v>
      </c>
      <c r="Q19" s="5">
        <f t="shared" si="0"/>
        <v>1057.2506667715668</v>
      </c>
      <c r="R19" s="14">
        <f>R18-P19</f>
        <v>11713.609963462774</v>
      </c>
    </row>
    <row r="20" spans="2:18" x14ac:dyDescent="0.25">
      <c r="B20" s="2">
        <f t="shared" si="2"/>
        <v>13</v>
      </c>
      <c r="C20" s="15">
        <f t="shared" si="3"/>
        <v>555.51375252769208</v>
      </c>
      <c r="D20" s="18">
        <f t="shared" si="1"/>
        <v>501.73691424387471</v>
      </c>
      <c r="E20" s="5">
        <f t="shared" si="0"/>
        <v>1057.2506667715668</v>
      </c>
      <c r="F20" s="14">
        <f t="shared" si="4"/>
        <v>43939.363287971493</v>
      </c>
      <c r="G20" s="20"/>
      <c r="H20" s="2">
        <f>H19+1</f>
        <v>37</v>
      </c>
      <c r="I20" s="15">
        <f>L19*$C$3/12</f>
        <v>381.23490833342703</v>
      </c>
      <c r="J20" s="18">
        <f>K20-I20</f>
        <v>676.01575843813976</v>
      </c>
      <c r="K20" s="5">
        <f t="shared" si="0"/>
        <v>1057.2506667715668</v>
      </c>
      <c r="L20" s="14">
        <f>L19-J20</f>
        <v>29822.776908236021</v>
      </c>
      <c r="M20" s="20"/>
      <c r="N20" s="2">
        <f>N19+1</f>
        <v>61</v>
      </c>
      <c r="O20" s="15">
        <f>R19*$C$3/12</f>
        <v>146.42012454328466</v>
      </c>
      <c r="P20" s="18">
        <f>Q20-O20</f>
        <v>910.83054222828218</v>
      </c>
      <c r="Q20" s="5">
        <f t="shared" si="0"/>
        <v>1057.2506667715668</v>
      </c>
      <c r="R20" s="14">
        <f>R19-P20</f>
        <v>10802.779421234491</v>
      </c>
    </row>
    <row r="21" spans="2:18" x14ac:dyDescent="0.25">
      <c r="B21" s="2">
        <f t="shared" si="2"/>
        <v>14</v>
      </c>
      <c r="C21" s="15">
        <f t="shared" si="3"/>
        <v>549.24204109964364</v>
      </c>
      <c r="D21" s="18">
        <f t="shared" si="1"/>
        <v>508.00862567192314</v>
      </c>
      <c r="E21" s="5">
        <f t="shared" si="0"/>
        <v>1057.2506667715668</v>
      </c>
      <c r="F21" s="14">
        <f t="shared" si="4"/>
        <v>43431.354662299571</v>
      </c>
      <c r="G21" s="20"/>
      <c r="H21" s="2">
        <f>H20+1</f>
        <v>38</v>
      </c>
      <c r="I21" s="15">
        <f>L20*$C$3/12</f>
        <v>372.7847113529503</v>
      </c>
      <c r="J21" s="18">
        <f>K21-I21</f>
        <v>684.46595541861643</v>
      </c>
      <c r="K21" s="5">
        <f t="shared" si="0"/>
        <v>1057.2506667715668</v>
      </c>
      <c r="L21" s="14">
        <f>L20-J21</f>
        <v>29138.310952817403</v>
      </c>
      <c r="M21" s="20"/>
      <c r="N21" s="2">
        <f>N20+1</f>
        <v>62</v>
      </c>
      <c r="O21" s="15">
        <f>R20*$C$3/12</f>
        <v>135.03474276543113</v>
      </c>
      <c r="P21" s="18">
        <f>Q21-O21</f>
        <v>922.21592400613565</v>
      </c>
      <c r="Q21" s="5">
        <f t="shared" si="0"/>
        <v>1057.2506667715668</v>
      </c>
      <c r="R21" s="14">
        <f>R20-P21</f>
        <v>9880.5634972283551</v>
      </c>
    </row>
    <row r="22" spans="2:18" x14ac:dyDescent="0.25">
      <c r="B22" s="2">
        <f t="shared" si="2"/>
        <v>15</v>
      </c>
      <c r="C22" s="15">
        <f t="shared" si="3"/>
        <v>542.89193327874466</v>
      </c>
      <c r="D22" s="18">
        <f t="shared" si="1"/>
        <v>514.35873349282213</v>
      </c>
      <c r="E22" s="5">
        <f t="shared" si="0"/>
        <v>1057.2506667715668</v>
      </c>
      <c r="F22" s="14">
        <f t="shared" si="4"/>
        <v>42916.995928806748</v>
      </c>
      <c r="G22" s="20"/>
      <c r="H22" s="2">
        <f>H21+1</f>
        <v>39</v>
      </c>
      <c r="I22" s="15">
        <f>L21*$C$3/12</f>
        <v>364.22888691021757</v>
      </c>
      <c r="J22" s="18">
        <f>K22-I22</f>
        <v>693.02177986134916</v>
      </c>
      <c r="K22" s="5">
        <f t="shared" si="0"/>
        <v>1057.2506667715668</v>
      </c>
      <c r="L22" s="14">
        <f>L21-J22</f>
        <v>28445.289172956054</v>
      </c>
      <c r="M22" s="20"/>
      <c r="N22" s="2">
        <f>N21+1</f>
        <v>63</v>
      </c>
      <c r="O22" s="15">
        <f>R21*$C$3/12</f>
        <v>123.50704371535443</v>
      </c>
      <c r="P22" s="18">
        <f>Q22-O22</f>
        <v>933.7436230562123</v>
      </c>
      <c r="Q22" s="5">
        <f t="shared" si="0"/>
        <v>1057.2506667715668</v>
      </c>
      <c r="R22" s="14">
        <f>R21-P22</f>
        <v>8946.8198741721426</v>
      </c>
    </row>
    <row r="23" spans="2:18" x14ac:dyDescent="0.25">
      <c r="B23" s="2">
        <f t="shared" si="2"/>
        <v>16</v>
      </c>
      <c r="C23" s="15">
        <f t="shared" si="3"/>
        <v>536.46244911008432</v>
      </c>
      <c r="D23" s="18">
        <f t="shared" si="1"/>
        <v>520.78821766148246</v>
      </c>
      <c r="E23" s="5">
        <f t="shared" si="0"/>
        <v>1057.2506667715668</v>
      </c>
      <c r="F23" s="14">
        <f t="shared" si="4"/>
        <v>42396.207711145267</v>
      </c>
      <c r="G23" s="20"/>
      <c r="H23" s="2">
        <f>H22+1</f>
        <v>40</v>
      </c>
      <c r="I23" s="15">
        <f>L22*$C$3/12</f>
        <v>355.56611466195068</v>
      </c>
      <c r="J23" s="18">
        <f>K23-I23</f>
        <v>701.68455210961611</v>
      </c>
      <c r="K23" s="5">
        <f t="shared" si="0"/>
        <v>1057.2506667715668</v>
      </c>
      <c r="L23" s="14">
        <f>L22-J23</f>
        <v>27743.60462084644</v>
      </c>
      <c r="M23" s="20"/>
      <c r="N23" s="2">
        <f>N22+1</f>
        <v>64</v>
      </c>
      <c r="O23" s="15">
        <f>R22*$C$3/12</f>
        <v>111.83524842715178</v>
      </c>
      <c r="P23" s="18">
        <f>Q23-O23</f>
        <v>945.415418344415</v>
      </c>
      <c r="Q23" s="5">
        <f t="shared" si="0"/>
        <v>1057.2506667715668</v>
      </c>
      <c r="R23" s="14">
        <f>R22-P23</f>
        <v>8001.4044558277274</v>
      </c>
    </row>
    <row r="24" spans="2:18" x14ac:dyDescent="0.25">
      <c r="B24" s="2">
        <f t="shared" si="2"/>
        <v>17</v>
      </c>
      <c r="C24" s="15">
        <f t="shared" si="3"/>
        <v>529.95259638931577</v>
      </c>
      <c r="D24" s="18">
        <f t="shared" si="1"/>
        <v>527.29807038225101</v>
      </c>
      <c r="E24" s="5">
        <f t="shared" si="0"/>
        <v>1057.2506667715668</v>
      </c>
      <c r="F24" s="14">
        <f t="shared" si="4"/>
        <v>41868.909640763013</v>
      </c>
      <c r="G24" s="20"/>
      <c r="H24" s="2">
        <f>H23+1</f>
        <v>41</v>
      </c>
      <c r="I24" s="15">
        <f>L23*$C$3/12</f>
        <v>346.79505776058045</v>
      </c>
      <c r="J24" s="18">
        <f>K24-I24</f>
        <v>710.45560901098634</v>
      </c>
      <c r="K24" s="5">
        <f t="shared" si="0"/>
        <v>1057.2506667715668</v>
      </c>
      <c r="L24" s="14">
        <f>L23-J24</f>
        <v>27033.149011835452</v>
      </c>
      <c r="M24" s="20"/>
      <c r="N24" s="2">
        <f>N23+1</f>
        <v>65</v>
      </c>
      <c r="O24" s="15">
        <f>R23*$C$3/12</f>
        <v>100.01755569784659</v>
      </c>
      <c r="P24" s="18">
        <f>Q24-O24</f>
        <v>957.23311107372024</v>
      </c>
      <c r="Q24" s="5">
        <f t="shared" si="0"/>
        <v>1057.2506667715668</v>
      </c>
      <c r="R24" s="14">
        <f>R23-P24</f>
        <v>7044.1713447540069</v>
      </c>
    </row>
    <row r="25" spans="2:18" x14ac:dyDescent="0.25">
      <c r="B25" s="2">
        <f t="shared" si="2"/>
        <v>18</v>
      </c>
      <c r="C25" s="15">
        <f t="shared" si="3"/>
        <v>523.36137050953766</v>
      </c>
      <c r="D25" s="18">
        <f t="shared" si="1"/>
        <v>533.88929626202912</v>
      </c>
      <c r="E25" s="5">
        <f t="shared" si="0"/>
        <v>1057.2506667715668</v>
      </c>
      <c r="F25" s="14">
        <f t="shared" si="4"/>
        <v>41335.020344500983</v>
      </c>
      <c r="G25" s="20"/>
      <c r="H25" s="2">
        <f>H24+1</f>
        <v>42</v>
      </c>
      <c r="I25" s="15">
        <f>L24*$C$3/12</f>
        <v>337.91436264794316</v>
      </c>
      <c r="J25" s="18">
        <f>K25-I25</f>
        <v>719.33630412362368</v>
      </c>
      <c r="K25" s="5">
        <f t="shared" si="0"/>
        <v>1057.2506667715668</v>
      </c>
      <c r="L25" s="14">
        <f>L24-J25</f>
        <v>26313.81270771183</v>
      </c>
      <c r="M25" s="20"/>
      <c r="N25" s="2">
        <f>N24+1</f>
        <v>66</v>
      </c>
      <c r="O25" s="15">
        <f>R24*$C$3/12</f>
        <v>88.052141809425095</v>
      </c>
      <c r="P25" s="18">
        <f t="shared" ref="P25:P31" si="5">Q25-O25</f>
        <v>969.19852496214173</v>
      </c>
      <c r="Q25" s="5">
        <f t="shared" ref="Q25:Q31" si="6">$C$5</f>
        <v>1057.2506667715668</v>
      </c>
      <c r="R25" s="14">
        <f>R24-P25</f>
        <v>6074.9728197918648</v>
      </c>
    </row>
    <row r="26" spans="2:18" x14ac:dyDescent="0.25">
      <c r="B26" s="2">
        <f t="shared" si="2"/>
        <v>19</v>
      </c>
      <c r="C26" s="15">
        <f t="shared" si="3"/>
        <v>516.68775430626226</v>
      </c>
      <c r="D26" s="18">
        <f t="shared" si="1"/>
        <v>540.56291246530452</v>
      </c>
      <c r="E26" s="5">
        <f t="shared" si="0"/>
        <v>1057.2506667715668</v>
      </c>
      <c r="F26" s="14">
        <f t="shared" si="4"/>
        <v>40794.457432035677</v>
      </c>
      <c r="G26" s="20"/>
      <c r="H26" s="2">
        <f>H25+1</f>
        <v>43</v>
      </c>
      <c r="I26" s="15">
        <f>L25*$C$3/12</f>
        <v>328.92265884639784</v>
      </c>
      <c r="J26" s="18">
        <f>K26-I26</f>
        <v>728.328007925169</v>
      </c>
      <c r="K26" s="5">
        <f t="shared" si="0"/>
        <v>1057.2506667715668</v>
      </c>
      <c r="L26" s="14">
        <f>L25-J26</f>
        <v>25585.484699786663</v>
      </c>
      <c r="M26" s="20"/>
      <c r="N26" s="2">
        <f>N25+1</f>
        <v>67</v>
      </c>
      <c r="O26" s="15">
        <f t="shared" ref="O26:O31" si="7">R25*$C$3/12</f>
        <v>75.93716024739831</v>
      </c>
      <c r="P26" s="18">
        <f t="shared" si="5"/>
        <v>981.31350652416847</v>
      </c>
      <c r="Q26" s="5">
        <f t="shared" si="6"/>
        <v>1057.2506667715668</v>
      </c>
      <c r="R26" s="14">
        <f t="shared" ref="R26:R31" si="8">R25-P26</f>
        <v>5093.6593132676962</v>
      </c>
    </row>
    <row r="27" spans="2:18" x14ac:dyDescent="0.25">
      <c r="B27" s="2">
        <f t="shared" si="2"/>
        <v>20</v>
      </c>
      <c r="C27" s="15">
        <f t="shared" si="3"/>
        <v>509.93071790044593</v>
      </c>
      <c r="D27" s="18">
        <f t="shared" si="1"/>
        <v>547.31994887112091</v>
      </c>
      <c r="E27" s="5">
        <f t="shared" si="0"/>
        <v>1057.2506667715668</v>
      </c>
      <c r="F27" s="14">
        <f t="shared" si="4"/>
        <v>40247.137483164559</v>
      </c>
      <c r="G27" s="20"/>
      <c r="H27" s="2">
        <f>H26+1</f>
        <v>44</v>
      </c>
      <c r="I27" s="15">
        <f>L26*$C$3/12</f>
        <v>319.81855874733327</v>
      </c>
      <c r="J27" s="18">
        <f>K27-I27</f>
        <v>737.43210802423346</v>
      </c>
      <c r="K27" s="5">
        <f t="shared" si="0"/>
        <v>1057.2506667715668</v>
      </c>
      <c r="L27" s="14">
        <f>L26-J27</f>
        <v>24848.052591762429</v>
      </c>
      <c r="M27" s="20"/>
      <c r="N27" s="2">
        <f>N26+1</f>
        <v>68</v>
      </c>
      <c r="O27" s="15">
        <f t="shared" si="7"/>
        <v>63.670741415846202</v>
      </c>
      <c r="P27" s="18">
        <f t="shared" si="5"/>
        <v>993.57992535572055</v>
      </c>
      <c r="Q27" s="5">
        <f t="shared" si="6"/>
        <v>1057.2506667715668</v>
      </c>
      <c r="R27" s="14">
        <f t="shared" si="8"/>
        <v>4100.0793879119756</v>
      </c>
    </row>
    <row r="28" spans="2:18" x14ac:dyDescent="0.25">
      <c r="B28" s="2">
        <f t="shared" si="2"/>
        <v>21</v>
      </c>
      <c r="C28" s="15">
        <f t="shared" si="3"/>
        <v>503.08921853955695</v>
      </c>
      <c r="D28" s="18">
        <f t="shared" si="1"/>
        <v>554.16144823200989</v>
      </c>
      <c r="E28" s="5">
        <f t="shared" si="0"/>
        <v>1057.2506667715668</v>
      </c>
      <c r="F28" s="14">
        <f t="shared" si="4"/>
        <v>39692.976034932552</v>
      </c>
      <c r="G28" s="20"/>
      <c r="H28" s="2">
        <f>H27+1</f>
        <v>45</v>
      </c>
      <c r="I28" s="15">
        <f>L27*$C$3/12</f>
        <v>310.60065739703037</v>
      </c>
      <c r="J28" s="18">
        <f>K28-I28</f>
        <v>746.65000937453647</v>
      </c>
      <c r="K28" s="5">
        <f t="shared" si="0"/>
        <v>1057.2506667715668</v>
      </c>
      <c r="L28" s="14">
        <f>L27-J28</f>
        <v>24101.402582387891</v>
      </c>
      <c r="M28" s="20"/>
      <c r="N28" s="2">
        <f>N27+1</f>
        <v>69</v>
      </c>
      <c r="O28" s="15">
        <f t="shared" si="7"/>
        <v>51.250992348899693</v>
      </c>
      <c r="P28" s="18">
        <f t="shared" si="5"/>
        <v>1005.9996744226671</v>
      </c>
      <c r="Q28" s="5">
        <f t="shared" si="6"/>
        <v>1057.2506667715668</v>
      </c>
      <c r="R28" s="14">
        <f t="shared" si="8"/>
        <v>3094.0797134893082</v>
      </c>
    </row>
    <row r="29" spans="2:18" x14ac:dyDescent="0.25">
      <c r="B29" s="2">
        <f t="shared" si="2"/>
        <v>22</v>
      </c>
      <c r="C29" s="15">
        <f t="shared" si="3"/>
        <v>496.16220043665686</v>
      </c>
      <c r="D29" s="18">
        <f t="shared" si="1"/>
        <v>561.08846633490998</v>
      </c>
      <c r="E29" s="5">
        <f t="shared" si="0"/>
        <v>1057.2506667715668</v>
      </c>
      <c r="F29" s="14">
        <f t="shared" si="4"/>
        <v>39131.887568597638</v>
      </c>
      <c r="G29" s="20"/>
      <c r="H29" s="2">
        <f>H28+1</f>
        <v>46</v>
      </c>
      <c r="I29" s="15">
        <f>L28*$C$3/12</f>
        <v>301.26753227984864</v>
      </c>
      <c r="J29" s="18">
        <f>K29-I29</f>
        <v>755.98313449171815</v>
      </c>
      <c r="K29" s="5">
        <f t="shared" si="0"/>
        <v>1057.2506667715668</v>
      </c>
      <c r="L29" s="14">
        <f>L28-J29</f>
        <v>23345.419447896173</v>
      </c>
      <c r="M29" s="20"/>
      <c r="N29" s="2">
        <f>N28+1</f>
        <v>70</v>
      </c>
      <c r="O29" s="15">
        <f t="shared" si="7"/>
        <v>38.67599641861635</v>
      </c>
      <c r="P29" s="18">
        <f t="shared" si="5"/>
        <v>1018.5746703529504</v>
      </c>
      <c r="Q29" s="5">
        <f t="shared" si="6"/>
        <v>1057.2506667715668</v>
      </c>
      <c r="R29" s="14">
        <f t="shared" si="8"/>
        <v>2075.5050431363579</v>
      </c>
    </row>
    <row r="30" spans="2:18" x14ac:dyDescent="0.25">
      <c r="B30" s="2">
        <f t="shared" si="2"/>
        <v>23</v>
      </c>
      <c r="C30" s="15">
        <f t="shared" si="3"/>
        <v>489.14859460747044</v>
      </c>
      <c r="D30" s="18">
        <f t="shared" si="1"/>
        <v>568.1020721640964</v>
      </c>
      <c r="E30" s="5">
        <f t="shared" si="0"/>
        <v>1057.2506667715668</v>
      </c>
      <c r="F30" s="14">
        <f t="shared" si="4"/>
        <v>38563.785496433542</v>
      </c>
      <c r="G30" s="20"/>
      <c r="H30" s="2">
        <f>H29+1</f>
        <v>47</v>
      </c>
      <c r="I30" s="15">
        <f>L29*$C$3/12</f>
        <v>291.81774309870212</v>
      </c>
      <c r="J30" s="18">
        <f>K30-I30</f>
        <v>765.43292367286472</v>
      </c>
      <c r="K30" s="5">
        <f t="shared" si="0"/>
        <v>1057.2506667715668</v>
      </c>
      <c r="L30" s="14">
        <f>L29-J30</f>
        <v>22579.986524223306</v>
      </c>
      <c r="M30" s="20"/>
      <c r="N30" s="2">
        <f>N29+1</f>
        <v>71</v>
      </c>
      <c r="O30" s="15">
        <f t="shared" si="7"/>
        <v>25.943813039204471</v>
      </c>
      <c r="P30" s="18">
        <f t="shared" si="5"/>
        <v>1031.3068537323622</v>
      </c>
      <c r="Q30" s="5">
        <f t="shared" si="6"/>
        <v>1057.2506667715668</v>
      </c>
      <c r="R30" s="14">
        <f t="shared" si="8"/>
        <v>1044.1981894039957</v>
      </c>
    </row>
    <row r="31" spans="2:18" x14ac:dyDescent="0.25">
      <c r="B31" s="2">
        <f t="shared" si="2"/>
        <v>24</v>
      </c>
      <c r="C31" s="15">
        <f t="shared" si="3"/>
        <v>482.04731870541923</v>
      </c>
      <c r="D31" s="18">
        <f t="shared" si="1"/>
        <v>575.20334806614756</v>
      </c>
      <c r="E31" s="5">
        <f t="shared" si="0"/>
        <v>1057.2506667715668</v>
      </c>
      <c r="F31" s="14">
        <f t="shared" si="4"/>
        <v>37988.582148367394</v>
      </c>
      <c r="G31" s="20"/>
      <c r="H31" s="2">
        <f>H30+1</f>
        <v>48</v>
      </c>
      <c r="I31" s="15">
        <f>L30*$C$3/12</f>
        <v>282.24983155279131</v>
      </c>
      <c r="J31" s="18">
        <f>K31-I31</f>
        <v>775.00083521877548</v>
      </c>
      <c r="K31" s="5">
        <f t="shared" si="0"/>
        <v>1057.2506667715668</v>
      </c>
      <c r="L31" s="14">
        <f>L30-J31</f>
        <v>21804.98568900453</v>
      </c>
      <c r="M31" s="20"/>
      <c r="N31" s="2">
        <f>N30+1</f>
        <v>72</v>
      </c>
      <c r="O31" s="15">
        <f t="shared" si="7"/>
        <v>13.052477367549946</v>
      </c>
      <c r="P31" s="18">
        <f t="shared" si="5"/>
        <v>1044.1981894040168</v>
      </c>
      <c r="Q31" s="5">
        <f t="shared" si="6"/>
        <v>1057.2506667715668</v>
      </c>
      <c r="R31" s="14">
        <f t="shared" si="8"/>
        <v>-2.1145751816220582E-11</v>
      </c>
    </row>
  </sheetData>
  <mergeCells count="1"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8B3D-287A-477E-86A7-8E605F115BC5}">
  <dimension ref="A1:R32"/>
  <sheetViews>
    <sheetView showGridLines="0" tabSelected="1" zoomScale="90" zoomScaleNormal="90" workbookViewId="0">
      <selection activeCell="T9" sqref="T9"/>
    </sheetView>
  </sheetViews>
  <sheetFormatPr baseColWidth="10" defaultRowHeight="15" x14ac:dyDescent="0.25"/>
  <cols>
    <col min="2" max="2" width="15" style="2" customWidth="1"/>
    <col min="3" max="3" width="13.7109375" style="2" customWidth="1"/>
    <col min="4" max="4" width="13.7109375" style="17" customWidth="1"/>
    <col min="5" max="6" width="13.7109375" customWidth="1"/>
    <col min="7" max="7" width="3.85546875" customWidth="1"/>
    <col min="8" max="12" width="13.7109375" customWidth="1"/>
    <col min="13" max="13" width="3.85546875" customWidth="1"/>
    <col min="14" max="18" width="13.7109375" customWidth="1"/>
  </cols>
  <sheetData>
    <row r="1" spans="1:18" x14ac:dyDescent="0.25">
      <c r="B1" s="13" t="s">
        <v>16</v>
      </c>
      <c r="C1" s="3">
        <v>1000</v>
      </c>
      <c r="D1" s="6" t="s">
        <v>4</v>
      </c>
    </row>
    <row r="2" spans="1:18" x14ac:dyDescent="0.25">
      <c r="B2" s="13" t="s">
        <v>2</v>
      </c>
      <c r="C2" s="1">
        <v>0.05</v>
      </c>
      <c r="D2" s="7" t="s">
        <v>3</v>
      </c>
      <c r="H2" s="25" t="s">
        <v>23</v>
      </c>
      <c r="I2" s="26"/>
      <c r="J2" s="5"/>
      <c r="K2" s="11"/>
      <c r="N2" s="38">
        <f>L29</f>
        <v>50593.2953449013</v>
      </c>
      <c r="O2" s="37" t="s">
        <v>27</v>
      </c>
      <c r="P2" s="37"/>
      <c r="Q2" s="37"/>
    </row>
    <row r="3" spans="1:18" x14ac:dyDescent="0.25">
      <c r="B3" s="13" t="s">
        <v>5</v>
      </c>
      <c r="C3" s="2">
        <v>6</v>
      </c>
      <c r="D3" s="8" t="s">
        <v>18</v>
      </c>
      <c r="H3" s="25" t="s">
        <v>24</v>
      </c>
      <c r="I3" s="26"/>
      <c r="J3" s="35"/>
      <c r="K3" s="36"/>
      <c r="N3" s="38">
        <f>R32</f>
        <v>85118.897249525035</v>
      </c>
      <c r="O3" s="37" t="s">
        <v>25</v>
      </c>
      <c r="P3" s="37"/>
      <c r="Q3" s="37"/>
    </row>
    <row r="4" spans="1:18" x14ac:dyDescent="0.25">
      <c r="B4" s="13" t="s">
        <v>0</v>
      </c>
      <c r="C4" s="9">
        <v>1000</v>
      </c>
      <c r="D4" s="31" t="s">
        <v>6</v>
      </c>
      <c r="H4" s="25" t="s">
        <v>28</v>
      </c>
      <c r="I4" s="28"/>
      <c r="J4" s="29"/>
      <c r="K4" s="30"/>
      <c r="N4" s="38">
        <f>L11</f>
        <v>29638.047932967249</v>
      </c>
      <c r="O4" s="10" t="s">
        <v>26</v>
      </c>
    </row>
    <row r="5" spans="1:18" x14ac:dyDescent="0.25">
      <c r="B5" s="13" t="s">
        <v>17</v>
      </c>
      <c r="C5" s="16">
        <f>FV(C2/12,C3*12,-C4,-C1)</f>
        <v>85113.276342258076</v>
      </c>
      <c r="D5" s="32" t="s">
        <v>19</v>
      </c>
    </row>
    <row r="6" spans="1:18" x14ac:dyDescent="0.25">
      <c r="B6" s="4"/>
      <c r="C6" s="4"/>
      <c r="D6" s="4"/>
    </row>
    <row r="7" spans="1:18" x14ac:dyDescent="0.25">
      <c r="B7" s="12" t="s">
        <v>8</v>
      </c>
      <c r="C7" s="11" t="s">
        <v>20</v>
      </c>
      <c r="D7" s="11" t="s">
        <v>21</v>
      </c>
      <c r="E7" s="11" t="s">
        <v>0</v>
      </c>
      <c r="F7" s="11" t="s">
        <v>22</v>
      </c>
      <c r="G7" s="20"/>
      <c r="H7" s="12" t="s">
        <v>8</v>
      </c>
      <c r="I7" s="11" t="s">
        <v>20</v>
      </c>
      <c r="J7" s="11" t="s">
        <v>21</v>
      </c>
      <c r="K7" s="11" t="s">
        <v>0</v>
      </c>
      <c r="L7" s="11" t="s">
        <v>22</v>
      </c>
      <c r="M7" s="20"/>
      <c r="N7" s="12" t="s">
        <v>8</v>
      </c>
      <c r="O7" s="11" t="s">
        <v>20</v>
      </c>
      <c r="P7" s="11" t="s">
        <v>21</v>
      </c>
      <c r="Q7" s="11" t="s">
        <v>0</v>
      </c>
      <c r="R7" s="11" t="s">
        <v>22</v>
      </c>
    </row>
    <row r="8" spans="1:18" x14ac:dyDescent="0.25">
      <c r="A8" t="s">
        <v>30</v>
      </c>
      <c r="B8" s="2">
        <v>0</v>
      </c>
      <c r="C8" s="15">
        <f>C1</f>
        <v>1000</v>
      </c>
      <c r="D8" s="15">
        <f>C8*$C$2/12</f>
        <v>4.166666666666667</v>
      </c>
      <c r="E8" s="5">
        <v>0</v>
      </c>
      <c r="F8" s="5">
        <f>E8+D8+C8</f>
        <v>1004.1666666666666</v>
      </c>
      <c r="G8" s="20"/>
      <c r="H8" s="2">
        <f>B31+1</f>
        <v>24</v>
      </c>
      <c r="I8" s="16">
        <f>F31</f>
        <v>25190.505352818287</v>
      </c>
      <c r="J8" s="15">
        <f>I8*$C$2/12</f>
        <v>104.96043897007621</v>
      </c>
      <c r="K8" s="5">
        <f>$C$4</f>
        <v>1000</v>
      </c>
      <c r="L8" s="5">
        <f>K8+J8+I8</f>
        <v>26295.465791788363</v>
      </c>
      <c r="M8" s="20"/>
      <c r="N8" s="2">
        <f>H31+1</f>
        <v>48</v>
      </c>
      <c r="O8" s="16">
        <f>L31</f>
        <v>53019.951161930774</v>
      </c>
      <c r="P8" s="15">
        <f>O8*$C$2/12</f>
        <v>220.91646317471157</v>
      </c>
      <c r="Q8" s="5">
        <f>$C$4</f>
        <v>1000</v>
      </c>
      <c r="R8" s="5">
        <f>Q8+P8+O8</f>
        <v>54240.867625105486</v>
      </c>
    </row>
    <row r="9" spans="1:18" x14ac:dyDescent="0.25">
      <c r="A9" t="s">
        <v>29</v>
      </c>
      <c r="B9" s="2">
        <f>B8+1</f>
        <v>1</v>
      </c>
      <c r="C9" s="15">
        <f>F8</f>
        <v>1004.1666666666666</v>
      </c>
      <c r="D9" s="15">
        <f>C9*$C$2/12</f>
        <v>4.1840277777777777</v>
      </c>
      <c r="E9" s="5">
        <f>$C$4</f>
        <v>1000</v>
      </c>
      <c r="F9" s="5">
        <f t="shared" ref="F9:F31" si="0">E9+D9+C9</f>
        <v>2008.3506944444443</v>
      </c>
      <c r="G9" s="20"/>
      <c r="H9" s="2">
        <f>H8+1</f>
        <v>25</v>
      </c>
      <c r="I9" s="15">
        <f>L8</f>
        <v>26295.465791788363</v>
      </c>
      <c r="J9" s="15">
        <f t="shared" ref="J9:J31" si="1">I9*$C$2/12</f>
        <v>109.56444079911819</v>
      </c>
      <c r="K9" s="5">
        <f t="shared" ref="K9:K31" si="2">$C$4</f>
        <v>1000</v>
      </c>
      <c r="L9" s="5">
        <f t="shared" ref="L9:L31" si="3">K9+J9+I9</f>
        <v>27405.03023258748</v>
      </c>
      <c r="M9" s="20"/>
      <c r="N9" s="2">
        <f>N8+1</f>
        <v>49</v>
      </c>
      <c r="O9" s="16">
        <f>R8</f>
        <v>54240.867625105486</v>
      </c>
      <c r="P9" s="15">
        <f t="shared" ref="P9:P32" si="4">O9*$C$2/12</f>
        <v>226.00361510460621</v>
      </c>
      <c r="Q9" s="5">
        <f>$C$4</f>
        <v>1000</v>
      </c>
      <c r="R9" s="5">
        <f t="shared" ref="R9:R32" si="5">Q9+P9+O9</f>
        <v>55466.871240210094</v>
      </c>
    </row>
    <row r="10" spans="1:18" x14ac:dyDescent="0.25">
      <c r="B10" s="2">
        <f t="shared" ref="B10:B31" si="6">B9+1</f>
        <v>2</v>
      </c>
      <c r="C10" s="15">
        <f t="shared" ref="C10:C31" si="7">F9</f>
        <v>2008.3506944444443</v>
      </c>
      <c r="D10" s="15">
        <f t="shared" ref="D10:D31" si="8">C10*$C$2/12</f>
        <v>8.368127893518519</v>
      </c>
      <c r="E10" s="5">
        <f>$C$4</f>
        <v>1000</v>
      </c>
      <c r="F10" s="5">
        <f t="shared" si="0"/>
        <v>3016.7188223379626</v>
      </c>
      <c r="G10" s="20"/>
      <c r="H10" s="2">
        <f>H9+1</f>
        <v>26</v>
      </c>
      <c r="I10" s="15">
        <f t="shared" ref="I10:I31" si="9">L9</f>
        <v>27405.03023258748</v>
      </c>
      <c r="J10" s="15">
        <f t="shared" si="1"/>
        <v>114.18762596911451</v>
      </c>
      <c r="K10" s="5">
        <f t="shared" si="2"/>
        <v>1000</v>
      </c>
      <c r="L10" s="5">
        <f t="shared" si="3"/>
        <v>28519.217858556596</v>
      </c>
      <c r="M10" s="20"/>
      <c r="N10" s="2">
        <f>N9+1</f>
        <v>50</v>
      </c>
      <c r="O10" s="16">
        <f t="shared" ref="O10:O32" si="10">R9</f>
        <v>55466.871240210094</v>
      </c>
      <c r="P10" s="15">
        <f t="shared" si="4"/>
        <v>231.11196350087539</v>
      </c>
      <c r="Q10" s="5">
        <f>$C$4</f>
        <v>1000</v>
      </c>
      <c r="R10" s="5">
        <f t="shared" si="5"/>
        <v>56697.983203710966</v>
      </c>
    </row>
    <row r="11" spans="1:18" x14ac:dyDescent="0.25">
      <c r="B11" s="2">
        <f t="shared" si="6"/>
        <v>3</v>
      </c>
      <c r="C11" s="15">
        <f t="shared" si="7"/>
        <v>3016.7188223379626</v>
      </c>
      <c r="D11" s="15">
        <f t="shared" si="8"/>
        <v>12.569661759741512</v>
      </c>
      <c r="E11" s="5">
        <f>$C$4</f>
        <v>1000</v>
      </c>
      <c r="F11" s="5">
        <f t="shared" si="0"/>
        <v>4029.288484097704</v>
      </c>
      <c r="G11" s="20"/>
      <c r="H11" s="2">
        <f>H10+1</f>
        <v>27</v>
      </c>
      <c r="I11" s="15">
        <f t="shared" si="9"/>
        <v>28519.217858556596</v>
      </c>
      <c r="J11" s="15">
        <f t="shared" si="1"/>
        <v>118.8300744106525</v>
      </c>
      <c r="K11" s="5">
        <f t="shared" si="2"/>
        <v>1000</v>
      </c>
      <c r="L11" s="5">
        <f t="shared" si="3"/>
        <v>29638.047932967249</v>
      </c>
      <c r="M11" s="20"/>
      <c r="N11" s="2">
        <f>N10+1</f>
        <v>51</v>
      </c>
      <c r="O11" s="16">
        <f t="shared" si="10"/>
        <v>56697.983203710966</v>
      </c>
      <c r="P11" s="15">
        <f t="shared" si="4"/>
        <v>236.24159668212906</v>
      </c>
      <c r="Q11" s="5">
        <f>$C$4</f>
        <v>1000</v>
      </c>
      <c r="R11" s="5">
        <f t="shared" si="5"/>
        <v>57934.224800393094</v>
      </c>
    </row>
    <row r="12" spans="1:18" x14ac:dyDescent="0.25">
      <c r="B12" s="2">
        <f t="shared" si="6"/>
        <v>4</v>
      </c>
      <c r="C12" s="15">
        <f t="shared" si="7"/>
        <v>4029.288484097704</v>
      </c>
      <c r="D12" s="15">
        <f t="shared" si="8"/>
        <v>16.788702017073767</v>
      </c>
      <c r="E12" s="5">
        <f>$C$4</f>
        <v>1000</v>
      </c>
      <c r="F12" s="5">
        <f t="shared" si="0"/>
        <v>5046.0771861147778</v>
      </c>
      <c r="G12" s="20"/>
      <c r="H12" s="2">
        <f>H11+1</f>
        <v>28</v>
      </c>
      <c r="I12" s="15">
        <f t="shared" si="9"/>
        <v>29638.047932967249</v>
      </c>
      <c r="J12" s="15">
        <f t="shared" si="1"/>
        <v>123.49186638736354</v>
      </c>
      <c r="K12" s="5">
        <f t="shared" si="2"/>
        <v>1000</v>
      </c>
      <c r="L12" s="5">
        <f t="shared" si="3"/>
        <v>30761.539799354614</v>
      </c>
      <c r="M12" s="20"/>
      <c r="N12" s="2">
        <f>N11+1</f>
        <v>52</v>
      </c>
      <c r="O12" s="16">
        <f t="shared" si="10"/>
        <v>57934.224800393094</v>
      </c>
      <c r="P12" s="15">
        <f t="shared" si="4"/>
        <v>241.39260333497123</v>
      </c>
      <c r="Q12" s="5">
        <f>$C$4</f>
        <v>1000</v>
      </c>
      <c r="R12" s="5">
        <f t="shared" si="5"/>
        <v>59175.617403728065</v>
      </c>
    </row>
    <row r="13" spans="1:18" x14ac:dyDescent="0.25">
      <c r="B13" s="2">
        <f t="shared" si="6"/>
        <v>5</v>
      </c>
      <c r="C13" s="15">
        <f t="shared" si="7"/>
        <v>5046.0771861147778</v>
      </c>
      <c r="D13" s="15">
        <f t="shared" si="8"/>
        <v>21.025321608811577</v>
      </c>
      <c r="E13" s="5">
        <f>$C$4</f>
        <v>1000</v>
      </c>
      <c r="F13" s="5">
        <f t="shared" si="0"/>
        <v>6067.102507723589</v>
      </c>
      <c r="G13" s="20"/>
      <c r="H13" s="2">
        <f>H12+1</f>
        <v>29</v>
      </c>
      <c r="I13" s="15">
        <f t="shared" si="9"/>
        <v>30761.539799354614</v>
      </c>
      <c r="J13" s="15">
        <f t="shared" si="1"/>
        <v>128.1730824973109</v>
      </c>
      <c r="K13" s="5">
        <f t="shared" si="2"/>
        <v>1000</v>
      </c>
      <c r="L13" s="5">
        <f t="shared" si="3"/>
        <v>31889.712881851923</v>
      </c>
      <c r="M13" s="20"/>
      <c r="N13" s="2">
        <f>N12+1</f>
        <v>53</v>
      </c>
      <c r="O13" s="16">
        <f t="shared" si="10"/>
        <v>59175.617403728065</v>
      </c>
      <c r="P13" s="15">
        <f t="shared" si="4"/>
        <v>246.56507251553361</v>
      </c>
      <c r="Q13" s="5">
        <f>$C$4</f>
        <v>1000</v>
      </c>
      <c r="R13" s="5">
        <f t="shared" si="5"/>
        <v>60422.182476243601</v>
      </c>
    </row>
    <row r="14" spans="1:18" x14ac:dyDescent="0.25">
      <c r="B14" s="2">
        <f t="shared" si="6"/>
        <v>6</v>
      </c>
      <c r="C14" s="15">
        <f t="shared" si="7"/>
        <v>6067.102507723589</v>
      </c>
      <c r="D14" s="15">
        <f t="shared" si="8"/>
        <v>25.279593782181621</v>
      </c>
      <c r="E14" s="5">
        <f>$C$4</f>
        <v>1000</v>
      </c>
      <c r="F14" s="5">
        <f t="shared" si="0"/>
        <v>7092.3821015057711</v>
      </c>
      <c r="G14" s="20"/>
      <c r="H14" s="2">
        <f>H13+1</f>
        <v>30</v>
      </c>
      <c r="I14" s="15">
        <f t="shared" si="9"/>
        <v>31889.712881851923</v>
      </c>
      <c r="J14" s="15">
        <f t="shared" si="1"/>
        <v>132.87380367438303</v>
      </c>
      <c r="K14" s="5">
        <f t="shared" si="2"/>
        <v>1000</v>
      </c>
      <c r="L14" s="5">
        <f t="shared" si="3"/>
        <v>33022.586685526308</v>
      </c>
      <c r="M14" s="20"/>
      <c r="N14" s="2">
        <f>N13+1</f>
        <v>54</v>
      </c>
      <c r="O14" s="16">
        <f t="shared" si="10"/>
        <v>60422.182476243601</v>
      </c>
      <c r="P14" s="15">
        <f t="shared" si="4"/>
        <v>251.75909365101504</v>
      </c>
      <c r="Q14" s="5">
        <f>$C$4</f>
        <v>1000</v>
      </c>
      <c r="R14" s="5">
        <f t="shared" si="5"/>
        <v>61673.941569894618</v>
      </c>
    </row>
    <row r="15" spans="1:18" x14ac:dyDescent="0.25">
      <c r="B15" s="2">
        <f t="shared" si="6"/>
        <v>7</v>
      </c>
      <c r="C15" s="15">
        <f t="shared" si="7"/>
        <v>7092.3821015057711</v>
      </c>
      <c r="D15" s="15">
        <f t="shared" si="8"/>
        <v>29.551592089607382</v>
      </c>
      <c r="E15" s="5">
        <f>$C$4</f>
        <v>1000</v>
      </c>
      <c r="F15" s="5">
        <f t="shared" si="0"/>
        <v>8121.9336935953779</v>
      </c>
      <c r="G15" s="20"/>
      <c r="H15" s="2">
        <f>H14+1</f>
        <v>31</v>
      </c>
      <c r="I15" s="15">
        <f t="shared" si="9"/>
        <v>33022.586685526308</v>
      </c>
      <c r="J15" s="15">
        <f t="shared" si="1"/>
        <v>137.59411118969297</v>
      </c>
      <c r="K15" s="5">
        <f t="shared" si="2"/>
        <v>1000</v>
      </c>
      <c r="L15" s="5">
        <f t="shared" si="3"/>
        <v>34160.180796715998</v>
      </c>
      <c r="M15" s="20"/>
      <c r="N15" s="2">
        <f>N14+1</f>
        <v>55</v>
      </c>
      <c r="O15" s="16">
        <f t="shared" si="10"/>
        <v>61673.941569894618</v>
      </c>
      <c r="P15" s="15">
        <f t="shared" si="4"/>
        <v>256.97475654122758</v>
      </c>
      <c r="Q15" s="5">
        <f>$C$4</f>
        <v>1000</v>
      </c>
      <c r="R15" s="5">
        <f t="shared" si="5"/>
        <v>62930.916326435843</v>
      </c>
    </row>
    <row r="16" spans="1:18" x14ac:dyDescent="0.25">
      <c r="B16" s="2">
        <f t="shared" si="6"/>
        <v>8</v>
      </c>
      <c r="C16" s="15">
        <f t="shared" si="7"/>
        <v>8121.9336935953779</v>
      </c>
      <c r="D16" s="15">
        <f t="shared" si="8"/>
        <v>33.841390389980745</v>
      </c>
      <c r="E16" s="5">
        <f>$C$4</f>
        <v>1000</v>
      </c>
      <c r="F16" s="5">
        <f t="shared" si="0"/>
        <v>9155.7750839853579</v>
      </c>
      <c r="G16" s="20"/>
      <c r="H16" s="2">
        <f>H15+1</f>
        <v>32</v>
      </c>
      <c r="I16" s="15">
        <f t="shared" si="9"/>
        <v>34160.180796715998</v>
      </c>
      <c r="J16" s="15">
        <f t="shared" si="1"/>
        <v>142.33408665298333</v>
      </c>
      <c r="K16" s="5">
        <f t="shared" si="2"/>
        <v>1000</v>
      </c>
      <c r="L16" s="5">
        <f t="shared" si="3"/>
        <v>35302.514883368982</v>
      </c>
      <c r="M16" s="20"/>
      <c r="N16" s="2">
        <f>N15+1</f>
        <v>56</v>
      </c>
      <c r="O16" s="16">
        <f t="shared" si="10"/>
        <v>62930.916326435843</v>
      </c>
      <c r="P16" s="15">
        <f t="shared" si="4"/>
        <v>262.21215136014933</v>
      </c>
      <c r="Q16" s="5">
        <f>$C$4</f>
        <v>1000</v>
      </c>
      <c r="R16" s="5">
        <f t="shared" si="5"/>
        <v>64193.128477795995</v>
      </c>
    </row>
    <row r="17" spans="2:18" x14ac:dyDescent="0.25">
      <c r="B17" s="2">
        <f t="shared" si="6"/>
        <v>9</v>
      </c>
      <c r="C17" s="15">
        <f t="shared" si="7"/>
        <v>9155.7750839853579</v>
      </c>
      <c r="D17" s="15">
        <f t="shared" si="8"/>
        <v>38.149062849938993</v>
      </c>
      <c r="E17" s="5">
        <f>$C$4</f>
        <v>1000</v>
      </c>
      <c r="F17" s="5">
        <f t="shared" si="0"/>
        <v>10193.924146835298</v>
      </c>
      <c r="G17" s="20"/>
      <c r="H17" s="2">
        <f>H16+1</f>
        <v>33</v>
      </c>
      <c r="I17" s="15">
        <f t="shared" si="9"/>
        <v>35302.514883368982</v>
      </c>
      <c r="J17" s="15">
        <f t="shared" si="1"/>
        <v>147.09381201403744</v>
      </c>
      <c r="K17" s="5">
        <f t="shared" si="2"/>
        <v>1000</v>
      </c>
      <c r="L17" s="5">
        <f t="shared" si="3"/>
        <v>36449.608695383016</v>
      </c>
      <c r="M17" s="20"/>
      <c r="N17" s="2">
        <f>N16+1</f>
        <v>57</v>
      </c>
      <c r="O17" s="16">
        <f t="shared" si="10"/>
        <v>64193.128477795995</v>
      </c>
      <c r="P17" s="15">
        <f t="shared" si="4"/>
        <v>267.47136865748331</v>
      </c>
      <c r="Q17" s="5">
        <f>$C$4</f>
        <v>1000</v>
      </c>
      <c r="R17" s="5">
        <f t="shared" si="5"/>
        <v>65460.599846453479</v>
      </c>
    </row>
    <row r="18" spans="2:18" x14ac:dyDescent="0.25">
      <c r="B18" s="2">
        <f t="shared" si="6"/>
        <v>10</v>
      </c>
      <c r="C18" s="15">
        <f t="shared" si="7"/>
        <v>10193.924146835298</v>
      </c>
      <c r="D18" s="15">
        <f t="shared" si="8"/>
        <v>42.474683945147071</v>
      </c>
      <c r="E18" s="5">
        <f>$C$4</f>
        <v>1000</v>
      </c>
      <c r="F18" s="5">
        <f t="shared" si="0"/>
        <v>11236.398830780445</v>
      </c>
      <c r="G18" s="20"/>
      <c r="H18" s="2">
        <f>H17+1</f>
        <v>34</v>
      </c>
      <c r="I18" s="15">
        <f t="shared" si="9"/>
        <v>36449.608695383016</v>
      </c>
      <c r="J18" s="15">
        <f t="shared" si="1"/>
        <v>151.8733695640959</v>
      </c>
      <c r="K18" s="5">
        <f t="shared" si="2"/>
        <v>1000</v>
      </c>
      <c r="L18" s="5">
        <f t="shared" si="3"/>
        <v>37601.482064947115</v>
      </c>
      <c r="M18" s="20"/>
      <c r="N18" s="2">
        <f>N17+1</f>
        <v>58</v>
      </c>
      <c r="O18" s="16">
        <f t="shared" si="10"/>
        <v>65460.599846453479</v>
      </c>
      <c r="P18" s="15">
        <f t="shared" si="4"/>
        <v>272.75249936022283</v>
      </c>
      <c r="Q18" s="5">
        <f>$C$4</f>
        <v>1000</v>
      </c>
      <c r="R18" s="5">
        <f t="shared" si="5"/>
        <v>66733.352345813706</v>
      </c>
    </row>
    <row r="19" spans="2:18" x14ac:dyDescent="0.25">
      <c r="B19" s="2">
        <f t="shared" si="6"/>
        <v>11</v>
      </c>
      <c r="C19" s="15">
        <f t="shared" si="7"/>
        <v>11236.398830780445</v>
      </c>
      <c r="D19" s="15">
        <f t="shared" si="8"/>
        <v>46.818328461585189</v>
      </c>
      <c r="E19" s="5">
        <f>$C$4</f>
        <v>1000</v>
      </c>
      <c r="F19" s="5">
        <f t="shared" si="0"/>
        <v>12283.217159242031</v>
      </c>
      <c r="G19" s="20"/>
      <c r="H19" s="2">
        <f>H18+1</f>
        <v>35</v>
      </c>
      <c r="I19" s="15">
        <f t="shared" si="9"/>
        <v>37601.482064947115</v>
      </c>
      <c r="J19" s="15">
        <f t="shared" si="1"/>
        <v>156.67284193727966</v>
      </c>
      <c r="K19" s="5">
        <f t="shared" si="2"/>
        <v>1000</v>
      </c>
      <c r="L19" s="5">
        <f t="shared" si="3"/>
        <v>38758.154906884396</v>
      </c>
      <c r="M19" s="20"/>
      <c r="N19" s="2">
        <f>N18+1</f>
        <v>59</v>
      </c>
      <c r="O19" s="16">
        <f t="shared" si="10"/>
        <v>66733.352345813706</v>
      </c>
      <c r="P19" s="15">
        <f t="shared" si="4"/>
        <v>278.05563477422379</v>
      </c>
      <c r="Q19" s="5">
        <f>$C$4</f>
        <v>1000</v>
      </c>
      <c r="R19" s="5">
        <f t="shared" si="5"/>
        <v>68011.40798058793</v>
      </c>
    </row>
    <row r="20" spans="2:18" x14ac:dyDescent="0.25">
      <c r="B20" s="2">
        <f t="shared" si="6"/>
        <v>12</v>
      </c>
      <c r="C20" s="15">
        <f t="shared" si="7"/>
        <v>12283.217159242031</v>
      </c>
      <c r="D20" s="15">
        <f t="shared" si="8"/>
        <v>51.180071496841798</v>
      </c>
      <c r="E20" s="5">
        <f>$C$4</f>
        <v>1000</v>
      </c>
      <c r="F20" s="5">
        <f t="shared" si="0"/>
        <v>13334.397230738872</v>
      </c>
      <c r="G20" s="20"/>
      <c r="H20" s="2">
        <f>H19+1</f>
        <v>36</v>
      </c>
      <c r="I20" s="15">
        <f t="shared" si="9"/>
        <v>38758.154906884396</v>
      </c>
      <c r="J20" s="15">
        <f t="shared" si="1"/>
        <v>161.49231211201831</v>
      </c>
      <c r="K20" s="5">
        <f t="shared" si="2"/>
        <v>1000</v>
      </c>
      <c r="L20" s="5">
        <f t="shared" si="3"/>
        <v>39919.647218996412</v>
      </c>
      <c r="M20" s="20"/>
      <c r="N20" s="2">
        <f>N19+1</f>
        <v>60</v>
      </c>
      <c r="O20" s="16">
        <f t="shared" si="10"/>
        <v>68011.40798058793</v>
      </c>
      <c r="P20" s="15">
        <f t="shared" si="4"/>
        <v>283.38086658578305</v>
      </c>
      <c r="Q20" s="5">
        <f>$C$4</f>
        <v>1000</v>
      </c>
      <c r="R20" s="5">
        <f t="shared" si="5"/>
        <v>69294.78884717371</v>
      </c>
    </row>
    <row r="21" spans="2:18" x14ac:dyDescent="0.25">
      <c r="B21" s="2">
        <f t="shared" si="6"/>
        <v>13</v>
      </c>
      <c r="C21" s="15">
        <f t="shared" si="7"/>
        <v>13334.397230738872</v>
      </c>
      <c r="D21" s="15">
        <f t="shared" si="8"/>
        <v>55.559988461411969</v>
      </c>
      <c r="E21" s="5">
        <f>$C$4</f>
        <v>1000</v>
      </c>
      <c r="F21" s="5">
        <f t="shared" si="0"/>
        <v>14389.957219200283</v>
      </c>
      <c r="G21" s="20"/>
      <c r="H21" s="2">
        <f>H20+1</f>
        <v>37</v>
      </c>
      <c r="I21" s="15">
        <f t="shared" si="9"/>
        <v>39919.647218996412</v>
      </c>
      <c r="J21" s="15">
        <f t="shared" si="1"/>
        <v>166.33186341248506</v>
      </c>
      <c r="K21" s="5">
        <f t="shared" si="2"/>
        <v>1000</v>
      </c>
      <c r="L21" s="5">
        <f t="shared" si="3"/>
        <v>41085.9790824089</v>
      </c>
      <c r="M21" s="20"/>
      <c r="N21" s="2">
        <f>N20+1</f>
        <v>61</v>
      </c>
      <c r="O21" s="16">
        <f t="shared" si="10"/>
        <v>69294.78884717371</v>
      </c>
      <c r="P21" s="15">
        <f t="shared" si="4"/>
        <v>288.72828686322379</v>
      </c>
      <c r="Q21" s="5">
        <f>$C$4</f>
        <v>1000</v>
      </c>
      <c r="R21" s="5">
        <f t="shared" si="5"/>
        <v>70583.517134036927</v>
      </c>
    </row>
    <row r="22" spans="2:18" x14ac:dyDescent="0.25">
      <c r="B22" s="2">
        <f t="shared" si="6"/>
        <v>14</v>
      </c>
      <c r="C22" s="15">
        <f t="shared" si="7"/>
        <v>14389.957219200283</v>
      </c>
      <c r="D22" s="15">
        <f t="shared" si="8"/>
        <v>59.958155080001184</v>
      </c>
      <c r="E22" s="5">
        <f>$C$4</f>
        <v>1000</v>
      </c>
      <c r="F22" s="5">
        <f t="shared" si="0"/>
        <v>15449.915374280285</v>
      </c>
      <c r="G22" s="20"/>
      <c r="H22" s="2">
        <f>H21+1</f>
        <v>38</v>
      </c>
      <c r="I22" s="15">
        <f t="shared" si="9"/>
        <v>41085.9790824089</v>
      </c>
      <c r="J22" s="15">
        <f t="shared" si="1"/>
        <v>171.19157951003709</v>
      </c>
      <c r="K22" s="5">
        <f t="shared" si="2"/>
        <v>1000</v>
      </c>
      <c r="L22" s="5">
        <f t="shared" si="3"/>
        <v>42257.170661918935</v>
      </c>
      <c r="M22" s="20"/>
      <c r="N22" s="2">
        <f>N21+1</f>
        <v>62</v>
      </c>
      <c r="O22" s="16">
        <f t="shared" si="10"/>
        <v>70583.517134036927</v>
      </c>
      <c r="P22" s="15">
        <f t="shared" si="4"/>
        <v>294.0979880584872</v>
      </c>
      <c r="Q22" s="5">
        <f>$C$4</f>
        <v>1000</v>
      </c>
      <c r="R22" s="5">
        <f t="shared" si="5"/>
        <v>71877.61512209542</v>
      </c>
    </row>
    <row r="23" spans="2:18" x14ac:dyDescent="0.25">
      <c r="B23" s="2">
        <f t="shared" si="6"/>
        <v>15</v>
      </c>
      <c r="C23" s="15">
        <f t="shared" si="7"/>
        <v>15449.915374280285</v>
      </c>
      <c r="D23" s="15">
        <f t="shared" si="8"/>
        <v>64.374647392834518</v>
      </c>
      <c r="E23" s="5">
        <f>$C$4</f>
        <v>1000</v>
      </c>
      <c r="F23" s="5">
        <f t="shared" si="0"/>
        <v>16514.290021673118</v>
      </c>
      <c r="G23" s="20"/>
      <c r="H23" s="39">
        <f>H22+1</f>
        <v>39</v>
      </c>
      <c r="I23" s="40">
        <f t="shared" si="9"/>
        <v>42257.170661918935</v>
      </c>
      <c r="J23" s="40">
        <f t="shared" si="1"/>
        <v>176.07154442466222</v>
      </c>
      <c r="K23" s="38">
        <f t="shared" si="2"/>
        <v>1000</v>
      </c>
      <c r="L23" s="38">
        <f t="shared" si="3"/>
        <v>43433.242206343595</v>
      </c>
      <c r="M23" s="20"/>
      <c r="N23" s="2">
        <f>N22+1</f>
        <v>63</v>
      </c>
      <c r="O23" s="16">
        <f t="shared" si="10"/>
        <v>71877.61512209542</v>
      </c>
      <c r="P23" s="15">
        <f t="shared" si="4"/>
        <v>299.49006300873094</v>
      </c>
      <c r="Q23" s="5">
        <f>$C$4</f>
        <v>1000</v>
      </c>
      <c r="R23" s="5">
        <f t="shared" si="5"/>
        <v>73177.105185104156</v>
      </c>
    </row>
    <row r="24" spans="2:18" x14ac:dyDescent="0.25">
      <c r="B24" s="2">
        <f t="shared" si="6"/>
        <v>16</v>
      </c>
      <c r="C24" s="15">
        <f t="shared" si="7"/>
        <v>16514.290021673118</v>
      </c>
      <c r="D24" s="15">
        <f t="shared" si="8"/>
        <v>68.809541756971328</v>
      </c>
      <c r="E24" s="5">
        <f>$C$4</f>
        <v>1000</v>
      </c>
      <c r="F24" s="5">
        <f t="shared" si="0"/>
        <v>17583.099563430089</v>
      </c>
      <c r="G24" s="20"/>
      <c r="H24" s="2">
        <f>H23+1</f>
        <v>40</v>
      </c>
      <c r="I24" s="15">
        <f t="shared" si="9"/>
        <v>43433.242206343595</v>
      </c>
      <c r="J24" s="15">
        <f t="shared" si="1"/>
        <v>180.97184252643163</v>
      </c>
      <c r="K24" s="5">
        <f t="shared" si="2"/>
        <v>1000</v>
      </c>
      <c r="L24" s="5">
        <f t="shared" si="3"/>
        <v>44614.214048870024</v>
      </c>
      <c r="M24" s="20"/>
      <c r="N24" s="2">
        <f>N23+1</f>
        <v>64</v>
      </c>
      <c r="O24" s="16">
        <f t="shared" si="10"/>
        <v>73177.105185104156</v>
      </c>
      <c r="P24" s="15">
        <f t="shared" si="4"/>
        <v>304.90460493793398</v>
      </c>
      <c r="Q24" s="5">
        <f>$C$4</f>
        <v>1000</v>
      </c>
      <c r="R24" s="5">
        <f t="shared" si="5"/>
        <v>74482.009790042095</v>
      </c>
    </row>
    <row r="25" spans="2:18" x14ac:dyDescent="0.25">
      <c r="B25" s="2">
        <f t="shared" si="6"/>
        <v>17</v>
      </c>
      <c r="C25" s="15">
        <f t="shared" si="7"/>
        <v>17583.099563430089</v>
      </c>
      <c r="D25" s="15">
        <f t="shared" si="8"/>
        <v>73.262914847625368</v>
      </c>
      <c r="E25" s="5">
        <f>$C$4</f>
        <v>1000</v>
      </c>
      <c r="F25" s="5">
        <f t="shared" si="0"/>
        <v>18656.362478277715</v>
      </c>
      <c r="G25" s="20"/>
      <c r="H25" s="2">
        <f>H24+1</f>
        <v>41</v>
      </c>
      <c r="I25" s="15">
        <f t="shared" si="9"/>
        <v>44614.214048870024</v>
      </c>
      <c r="J25" s="15">
        <f t="shared" si="1"/>
        <v>185.89255853695843</v>
      </c>
      <c r="K25" s="5">
        <f t="shared" si="2"/>
        <v>1000</v>
      </c>
      <c r="L25" s="5">
        <f t="shared" si="3"/>
        <v>45800.106607406982</v>
      </c>
      <c r="M25" s="20"/>
      <c r="N25" s="2">
        <f>N24+1</f>
        <v>65</v>
      </c>
      <c r="O25" s="16">
        <f t="shared" si="10"/>
        <v>74482.009790042095</v>
      </c>
      <c r="P25" s="15">
        <f t="shared" si="4"/>
        <v>310.34170745850878</v>
      </c>
      <c r="Q25" s="5">
        <f>$C$4</f>
        <v>1000</v>
      </c>
      <c r="R25" s="5">
        <f t="shared" si="5"/>
        <v>75792.351497500611</v>
      </c>
    </row>
    <row r="26" spans="2:18" x14ac:dyDescent="0.25">
      <c r="B26" s="2">
        <f t="shared" si="6"/>
        <v>18</v>
      </c>
      <c r="C26" s="15">
        <f t="shared" si="7"/>
        <v>18656.362478277715</v>
      </c>
      <c r="D26" s="15">
        <f t="shared" si="8"/>
        <v>77.73484365949048</v>
      </c>
      <c r="E26" s="5">
        <f>$C$4</f>
        <v>1000</v>
      </c>
      <c r="F26" s="5">
        <f t="shared" si="0"/>
        <v>19734.097321937206</v>
      </c>
      <c r="G26" s="20"/>
      <c r="H26" s="2">
        <f>H25+1</f>
        <v>42</v>
      </c>
      <c r="I26" s="15">
        <f t="shared" si="9"/>
        <v>45800.106607406982</v>
      </c>
      <c r="J26" s="15">
        <f t="shared" si="1"/>
        <v>190.83377753086245</v>
      </c>
      <c r="K26" s="5">
        <f t="shared" si="2"/>
        <v>1000</v>
      </c>
      <c r="L26" s="5">
        <f t="shared" si="3"/>
        <v>46990.940384937843</v>
      </c>
      <c r="M26" s="20"/>
      <c r="N26" s="2">
        <f>N25+1</f>
        <v>66</v>
      </c>
      <c r="O26" s="16">
        <f t="shared" si="10"/>
        <v>75792.351497500611</v>
      </c>
      <c r="P26" s="15">
        <f t="shared" si="4"/>
        <v>315.8014645729192</v>
      </c>
      <c r="Q26" s="5">
        <f>$C$4</f>
        <v>1000</v>
      </c>
      <c r="R26" s="5">
        <f t="shared" si="5"/>
        <v>77108.152962073524</v>
      </c>
    </row>
    <row r="27" spans="2:18" x14ac:dyDescent="0.25">
      <c r="B27" s="2">
        <f t="shared" si="6"/>
        <v>19</v>
      </c>
      <c r="C27" s="15">
        <f t="shared" si="7"/>
        <v>19734.097321937206</v>
      </c>
      <c r="D27" s="15">
        <f t="shared" si="8"/>
        <v>82.225405508071688</v>
      </c>
      <c r="E27" s="5">
        <f>$C$4</f>
        <v>1000</v>
      </c>
      <c r="F27" s="5">
        <f t="shared" si="0"/>
        <v>20816.322727445277</v>
      </c>
      <c r="G27" s="20"/>
      <c r="H27" s="2">
        <f>H26+1</f>
        <v>43</v>
      </c>
      <c r="I27" s="15">
        <f t="shared" si="9"/>
        <v>46990.940384937843</v>
      </c>
      <c r="J27" s="15">
        <f t="shared" si="1"/>
        <v>195.79558493724105</v>
      </c>
      <c r="K27" s="5">
        <f t="shared" si="2"/>
        <v>1000</v>
      </c>
      <c r="L27" s="5">
        <f t="shared" si="3"/>
        <v>48186.735969875081</v>
      </c>
      <c r="M27" s="20"/>
      <c r="N27" s="2">
        <f>N26+1</f>
        <v>67</v>
      </c>
      <c r="O27" s="16">
        <f t="shared" si="10"/>
        <v>77108.152962073524</v>
      </c>
      <c r="P27" s="15">
        <f t="shared" si="4"/>
        <v>321.28397067530636</v>
      </c>
      <c r="Q27" s="5">
        <f>$C$4</f>
        <v>1000</v>
      </c>
      <c r="R27" s="5">
        <f t="shared" si="5"/>
        <v>78429.436932748824</v>
      </c>
    </row>
    <row r="28" spans="2:18" x14ac:dyDescent="0.25">
      <c r="B28" s="2">
        <f t="shared" si="6"/>
        <v>20</v>
      </c>
      <c r="C28" s="15">
        <f t="shared" si="7"/>
        <v>20816.322727445277</v>
      </c>
      <c r="D28" s="15">
        <f t="shared" si="8"/>
        <v>86.734678031021986</v>
      </c>
      <c r="E28" s="5">
        <f>$C$4</f>
        <v>1000</v>
      </c>
      <c r="F28" s="5">
        <f t="shared" si="0"/>
        <v>21903.057405476298</v>
      </c>
      <c r="G28" s="20"/>
      <c r="H28" s="2">
        <f>H27+1</f>
        <v>44</v>
      </c>
      <c r="I28" s="15">
        <f t="shared" si="9"/>
        <v>48186.735969875081</v>
      </c>
      <c r="J28" s="15">
        <f t="shared" si="1"/>
        <v>200.77806654114616</v>
      </c>
      <c r="K28" s="5">
        <f t="shared" si="2"/>
        <v>1000</v>
      </c>
      <c r="L28" s="5">
        <f t="shared" si="3"/>
        <v>49387.514036416229</v>
      </c>
      <c r="M28" s="20"/>
      <c r="N28" s="2">
        <f>N27+1</f>
        <v>68</v>
      </c>
      <c r="O28" s="16">
        <f t="shared" si="10"/>
        <v>78429.436932748824</v>
      </c>
      <c r="P28" s="15">
        <f t="shared" si="4"/>
        <v>326.78932055312015</v>
      </c>
      <c r="Q28" s="5">
        <f>$C$4</f>
        <v>1000</v>
      </c>
      <c r="R28" s="5">
        <f t="shared" si="5"/>
        <v>79756.226253301938</v>
      </c>
    </row>
    <row r="29" spans="2:18" x14ac:dyDescent="0.25">
      <c r="B29" s="2">
        <f t="shared" si="6"/>
        <v>21</v>
      </c>
      <c r="C29" s="15">
        <f t="shared" si="7"/>
        <v>21903.057405476298</v>
      </c>
      <c r="D29" s="15">
        <f t="shared" si="8"/>
        <v>91.262739189484577</v>
      </c>
      <c r="E29" s="5">
        <f>$C$4</f>
        <v>1000</v>
      </c>
      <c r="F29" s="5">
        <f t="shared" si="0"/>
        <v>22994.320144665784</v>
      </c>
      <c r="G29" s="20"/>
      <c r="H29" s="11">
        <f>H28+1</f>
        <v>45</v>
      </c>
      <c r="I29" s="33">
        <f t="shared" si="9"/>
        <v>49387.514036416229</v>
      </c>
      <c r="J29" s="33">
        <f t="shared" si="1"/>
        <v>205.78130848506763</v>
      </c>
      <c r="K29" s="24">
        <f t="shared" si="2"/>
        <v>1000</v>
      </c>
      <c r="L29" s="24">
        <f t="shared" si="3"/>
        <v>50593.2953449013</v>
      </c>
      <c r="M29" s="20"/>
      <c r="N29" s="2">
        <f>N28+1</f>
        <v>69</v>
      </c>
      <c r="O29" s="16">
        <f t="shared" si="10"/>
        <v>79756.226253301938</v>
      </c>
      <c r="P29" s="15">
        <f t="shared" si="4"/>
        <v>332.31760938875806</v>
      </c>
      <c r="Q29" s="5">
        <f>$C$4</f>
        <v>1000</v>
      </c>
      <c r="R29" s="5">
        <f t="shared" si="5"/>
        <v>81088.543862690698</v>
      </c>
    </row>
    <row r="30" spans="2:18" x14ac:dyDescent="0.25">
      <c r="B30" s="2">
        <f t="shared" si="6"/>
        <v>22</v>
      </c>
      <c r="C30" s="15">
        <f t="shared" si="7"/>
        <v>22994.320144665784</v>
      </c>
      <c r="D30" s="15">
        <f t="shared" si="8"/>
        <v>95.809667269440766</v>
      </c>
      <c r="E30" s="5">
        <f>$C$4</f>
        <v>1000</v>
      </c>
      <c r="F30" s="5">
        <f t="shared" si="0"/>
        <v>24090.129811935225</v>
      </c>
      <c r="G30" s="20"/>
      <c r="H30" s="2">
        <f>H29+1</f>
        <v>46</v>
      </c>
      <c r="I30" s="15">
        <f t="shared" si="9"/>
        <v>50593.2953449013</v>
      </c>
      <c r="J30" s="15">
        <f t="shared" si="1"/>
        <v>210.80539727042211</v>
      </c>
      <c r="K30" s="5">
        <f t="shared" si="2"/>
        <v>1000</v>
      </c>
      <c r="L30" s="5">
        <f t="shared" si="3"/>
        <v>51804.100742171722</v>
      </c>
      <c r="M30" s="20"/>
      <c r="N30" s="2">
        <f>N29+1</f>
        <v>70</v>
      </c>
      <c r="O30" s="16">
        <f t="shared" si="10"/>
        <v>81088.543862690698</v>
      </c>
      <c r="P30" s="15">
        <f t="shared" si="4"/>
        <v>337.86893276121128</v>
      </c>
      <c r="Q30" s="5">
        <f>$C$4</f>
        <v>1000</v>
      </c>
      <c r="R30" s="5">
        <f t="shared" si="5"/>
        <v>82426.412795451906</v>
      </c>
    </row>
    <row r="31" spans="2:18" x14ac:dyDescent="0.25">
      <c r="B31" s="2">
        <f t="shared" si="6"/>
        <v>23</v>
      </c>
      <c r="C31" s="15">
        <f t="shared" si="7"/>
        <v>24090.129811935225</v>
      </c>
      <c r="D31" s="15">
        <f t="shared" si="8"/>
        <v>100.37554088306344</v>
      </c>
      <c r="E31" s="5">
        <f>$C$4</f>
        <v>1000</v>
      </c>
      <c r="F31" s="5">
        <f t="shared" si="0"/>
        <v>25190.505352818287</v>
      </c>
      <c r="G31" s="20"/>
      <c r="H31" s="2">
        <f>H30+1</f>
        <v>47</v>
      </c>
      <c r="I31" s="15">
        <f t="shared" si="9"/>
        <v>51804.100742171722</v>
      </c>
      <c r="J31" s="15">
        <f t="shared" si="1"/>
        <v>215.85041975904883</v>
      </c>
      <c r="K31" s="5">
        <f t="shared" si="2"/>
        <v>1000</v>
      </c>
      <c r="L31" s="5">
        <f t="shared" si="3"/>
        <v>53019.951161930774</v>
      </c>
      <c r="M31" s="20"/>
      <c r="N31" s="2">
        <f>N30+1</f>
        <v>71</v>
      </c>
      <c r="O31" s="16">
        <f t="shared" si="10"/>
        <v>82426.412795451906</v>
      </c>
      <c r="P31" s="15">
        <f t="shared" si="4"/>
        <v>343.4433866477163</v>
      </c>
      <c r="Q31" s="5">
        <f>$C$4</f>
        <v>1000</v>
      </c>
      <c r="R31" s="5">
        <f t="shared" si="5"/>
        <v>83769.856182099626</v>
      </c>
    </row>
    <row r="32" spans="2:18" x14ac:dyDescent="0.25">
      <c r="N32" s="11">
        <f>N31+1</f>
        <v>72</v>
      </c>
      <c r="O32" s="34">
        <f t="shared" si="10"/>
        <v>83769.856182099626</v>
      </c>
      <c r="P32" s="33">
        <f t="shared" si="4"/>
        <v>349.04106742541512</v>
      </c>
      <c r="Q32" s="24">
        <f>$C$4</f>
        <v>1000</v>
      </c>
      <c r="R32" s="24">
        <f t="shared" si="5"/>
        <v>85118.897249525035</v>
      </c>
    </row>
  </sheetData>
  <mergeCells count="3">
    <mergeCell ref="B6:D6"/>
    <mergeCell ref="O2:Q2"/>
    <mergeCell ref="O3:Q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Credit</vt:lpstr>
      <vt:lpstr>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Majano, Rafael</dc:creator>
  <cp:lastModifiedBy>Majano, Rafael</cp:lastModifiedBy>
  <dcterms:created xsi:type="dcterms:W3CDTF">2025-11-09T18:39:45Z</dcterms:created>
  <dcterms:modified xsi:type="dcterms:W3CDTF">2025-11-09T22:12:08Z</dcterms:modified>
</cp:coreProperties>
</file>